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 tabRatio="665"/>
  </bookViews>
  <sheets>
    <sheet name="MICRO_ONLY" sheetId="7" r:id="rId1"/>
  </sheets>
  <definedNames>
    <definedName name="_xlnm._FilterDatabase" localSheetId="0" hidden="1">MICRO_ONLY!$A$1:$L$160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<sst xmlns="http://schemas.openxmlformats.org/spreadsheetml/2006/main" count="832" uniqueCount="314">
  <si>
    <t>Subject</t>
  </si>
  <si>
    <t>Filename</t>
  </si>
  <si>
    <t>Inducement Code</t>
  </si>
  <si>
    <t>OnsetFrame</t>
  </si>
  <si>
    <t>ApexFrame</t>
  </si>
  <si>
    <t>OffsetFrame</t>
  </si>
  <si>
    <t>Duration</t>
  </si>
  <si>
    <t>Micro</t>
  </si>
  <si>
    <t>Action Units</t>
  </si>
  <si>
    <t>Estimated Emotion</t>
  </si>
  <si>
    <t>Objective Classes</t>
  </si>
  <si>
    <t>Notes</t>
  </si>
  <si>
    <t>min</t>
  </si>
  <si>
    <t>006</t>
  </si>
  <si>
    <t>006_1_2</t>
  </si>
  <si>
    <t>Micro - 1/2</t>
  </si>
  <si>
    <t>4+7</t>
  </si>
  <si>
    <t>Anger</t>
  </si>
  <si>
    <t>006_1_3</t>
  </si>
  <si>
    <t>While blinking</t>
  </si>
  <si>
    <t>006_1_4</t>
  </si>
  <si>
    <t>006_1_5</t>
  </si>
  <si>
    <t>006_1_6</t>
  </si>
  <si>
    <t>4+7+43</t>
  </si>
  <si>
    <t>Double AU4</t>
  </si>
  <si>
    <t>006_2_4</t>
  </si>
  <si>
    <t>006_3_4</t>
  </si>
  <si>
    <t>15A+17</t>
  </si>
  <si>
    <t>Sadness</t>
  </si>
  <si>
    <t>006_3_5</t>
  </si>
  <si>
    <t>25+26</t>
  </si>
  <si>
    <t>Surprise</t>
  </si>
  <si>
    <t>006_5_10</t>
  </si>
  <si>
    <t>L20+21</t>
  </si>
  <si>
    <t>Fear</t>
  </si>
  <si>
    <t>look to the neck</t>
  </si>
  <si>
    <t>006_5_11</t>
  </si>
  <si>
    <t>while blinking</t>
  </si>
  <si>
    <t>006_5_9</t>
  </si>
  <si>
    <t>007</t>
  </si>
  <si>
    <t>007_3_1</t>
  </si>
  <si>
    <t>007_4_2</t>
  </si>
  <si>
    <t>Other</t>
  </si>
  <si>
    <t>L12?</t>
  </si>
  <si>
    <t>007_5_3</t>
  </si>
  <si>
    <t>007_5_4</t>
  </si>
  <si>
    <t>R2</t>
  </si>
  <si>
    <t>007_6_1</t>
  </si>
  <si>
    <t>(R6 or R12)+R15</t>
  </si>
  <si>
    <t>Happiness</t>
  </si>
  <si>
    <t>007_6_2</t>
  </si>
  <si>
    <t>007_6_3</t>
  </si>
  <si>
    <t>R6A+R12</t>
  </si>
  <si>
    <t>007_6_5</t>
  </si>
  <si>
    <t>(R6 or R12) + R15</t>
  </si>
  <si>
    <t>007_7_1</t>
  </si>
  <si>
    <t>5B+24</t>
  </si>
  <si>
    <t>007_7_5</t>
  </si>
  <si>
    <t>12A</t>
  </si>
  <si>
    <t>009</t>
  </si>
  <si>
    <t>009_2_1</t>
  </si>
  <si>
    <t>009_3_2</t>
  </si>
  <si>
    <t>7B</t>
  </si>
  <si>
    <t>009_3_3</t>
  </si>
  <si>
    <t>009_3_4</t>
  </si>
  <si>
    <t>5A</t>
  </si>
  <si>
    <t>010</t>
  </si>
  <si>
    <t>010_2_1</t>
  </si>
  <si>
    <t>ref(7B)+43</t>
  </si>
  <si>
    <t>010_2_8</t>
  </si>
  <si>
    <t>7D</t>
  </si>
  <si>
    <t>010_4_1</t>
  </si>
  <si>
    <t>ref(7B)+43C</t>
  </si>
  <si>
    <t>010_4_2</t>
  </si>
  <si>
    <t>7B+ ref(43)</t>
  </si>
  <si>
    <t>011</t>
  </si>
  <si>
    <t>011_1_4</t>
  </si>
  <si>
    <t>7C</t>
  </si>
  <si>
    <t>011_2_1</t>
  </si>
  <si>
    <t>A9+12</t>
  </si>
  <si>
    <t>Disgust</t>
  </si>
  <si>
    <t>Smiles during AU9</t>
  </si>
  <si>
    <t>011_2_2</t>
  </si>
  <si>
    <t>011_2_3</t>
  </si>
  <si>
    <t>4D+9B</t>
  </si>
  <si>
    <t>011_2_7</t>
  </si>
  <si>
    <t>7+12</t>
  </si>
  <si>
    <t>011_3_1</t>
  </si>
  <si>
    <t>L7A</t>
  </si>
  <si>
    <t>011_3_4</t>
  </si>
  <si>
    <t>L12 + 61</t>
  </si>
  <si>
    <t>011_3_5</t>
  </si>
  <si>
    <t>A12+A7</t>
  </si>
  <si>
    <t>Eye movement</t>
  </si>
  <si>
    <t>011_3_6</t>
  </si>
  <si>
    <t>A12</t>
  </si>
  <si>
    <t>011_4_1</t>
  </si>
  <si>
    <t>A7</t>
  </si>
  <si>
    <t>011_4_12</t>
  </si>
  <si>
    <t>011_4_13</t>
  </si>
  <si>
    <t>011_4_2</t>
  </si>
  <si>
    <t>L12 or L14</t>
  </si>
  <si>
    <t>011_5_1</t>
  </si>
  <si>
    <t>L14</t>
  </si>
  <si>
    <t>Contempt</t>
  </si>
  <si>
    <t>011_6_1</t>
  </si>
  <si>
    <t>10A/B</t>
  </si>
  <si>
    <t>011_6_13</t>
  </si>
  <si>
    <t>ref(L10)+A12B</t>
  </si>
  <si>
    <t>011_6_5</t>
  </si>
  <si>
    <t>L12C</t>
  </si>
  <si>
    <t>011_6_6</t>
  </si>
  <si>
    <t>12C</t>
  </si>
  <si>
    <t>011_7_1</t>
  </si>
  <si>
    <t>L10</t>
  </si>
  <si>
    <t>011_7_10</t>
  </si>
  <si>
    <t>012</t>
  </si>
  <si>
    <t>012_3_1</t>
  </si>
  <si>
    <t>7+20+26</t>
  </si>
  <si>
    <t>012_3_2</t>
  </si>
  <si>
    <t>ref(5)+20C+25+26</t>
  </si>
  <si>
    <t>Large head movement</t>
  </si>
  <si>
    <t>012_7_1</t>
  </si>
  <si>
    <t>013</t>
  </si>
  <si>
    <t>013_1_10</t>
  </si>
  <si>
    <t>013_1_11</t>
  </si>
  <si>
    <t>7A</t>
  </si>
  <si>
    <t>013_1_12</t>
  </si>
  <si>
    <t>013_1_8</t>
  </si>
  <si>
    <t>013_1_9</t>
  </si>
  <si>
    <t>013_7_7</t>
  </si>
  <si>
    <t>014</t>
  </si>
  <si>
    <t>014_1_1</t>
  </si>
  <si>
    <t>014_1_5</t>
  </si>
  <si>
    <t>014_2_3</t>
  </si>
  <si>
    <t>5C</t>
  </si>
  <si>
    <t>014_2_4</t>
  </si>
  <si>
    <t>12B</t>
  </si>
  <si>
    <t>Blinks</t>
  </si>
  <si>
    <t>014_3_3</t>
  </si>
  <si>
    <t>12A+ref(24)</t>
  </si>
  <si>
    <t>014_3_4</t>
  </si>
  <si>
    <t>12+24</t>
  </si>
  <si>
    <t>Blinks and head movement</t>
  </si>
  <si>
    <t>014_5_2</t>
  </si>
  <si>
    <t>R12 or R14</t>
  </si>
  <si>
    <t>014_6_1</t>
  </si>
  <si>
    <t>L12A</t>
  </si>
  <si>
    <t>014_6_2</t>
  </si>
  <si>
    <t>Half blink</t>
  </si>
  <si>
    <t>014_6_3</t>
  </si>
  <si>
    <t>A/L12</t>
  </si>
  <si>
    <t>014_7_1</t>
  </si>
  <si>
    <t>015</t>
  </si>
  <si>
    <t>015_5_1</t>
  </si>
  <si>
    <t>A1</t>
  </si>
  <si>
    <t>Slight eye movement</t>
  </si>
  <si>
    <t>015_5_2</t>
  </si>
  <si>
    <t>015_5_3</t>
  </si>
  <si>
    <t>1+2</t>
  </si>
  <si>
    <t>016</t>
  </si>
  <si>
    <t>016_7_1</t>
  </si>
  <si>
    <t>7D+ref(43)</t>
  </si>
  <si>
    <t>016_7_2</t>
  </si>
  <si>
    <t>016_7_3</t>
  </si>
  <si>
    <t>016_7_5</t>
  </si>
  <si>
    <t>Eye movements</t>
  </si>
  <si>
    <t>016_7_8</t>
  </si>
  <si>
    <t>Slight head movement</t>
  </si>
  <si>
    <t>017</t>
  </si>
  <si>
    <t>017_3_1</t>
  </si>
  <si>
    <t>R14</t>
  </si>
  <si>
    <t>017_3_2</t>
  </si>
  <si>
    <t>1A+2B+L14C</t>
  </si>
  <si>
    <t>017_3_3</t>
  </si>
  <si>
    <t>017_3_4</t>
  </si>
  <si>
    <t>L14C</t>
  </si>
  <si>
    <t>017_6_1</t>
  </si>
  <si>
    <t>017_6_2</t>
  </si>
  <si>
    <t>R2A</t>
  </si>
  <si>
    <t>018</t>
  </si>
  <si>
    <t>018_1_4</t>
  </si>
  <si>
    <t>R2B</t>
  </si>
  <si>
    <t>018_3_1</t>
  </si>
  <si>
    <t>A9E+ref(10)</t>
  </si>
  <si>
    <t>018_5_1</t>
  </si>
  <si>
    <t>018_7_1</t>
  </si>
  <si>
    <t>019</t>
  </si>
  <si>
    <t>019_3_2</t>
  </si>
  <si>
    <t>L2A</t>
  </si>
  <si>
    <t>019_4_1</t>
  </si>
  <si>
    <t>019_5_1</t>
  </si>
  <si>
    <t>L2</t>
  </si>
  <si>
    <t>020</t>
  </si>
  <si>
    <t>020_1_1</t>
  </si>
  <si>
    <t>020_1_2</t>
  </si>
  <si>
    <t>020_1_3</t>
  </si>
  <si>
    <t>B18+25</t>
  </si>
  <si>
    <t>020_1_4</t>
  </si>
  <si>
    <t>8+25</t>
  </si>
  <si>
    <t>020_4_1</t>
  </si>
  <si>
    <t>14+25+26</t>
  </si>
  <si>
    <t>020_4_2</t>
  </si>
  <si>
    <t>L12A+25</t>
  </si>
  <si>
    <t>020_7_1</t>
  </si>
  <si>
    <t>Mainly on left side</t>
  </si>
  <si>
    <t>020_7_10</t>
  </si>
  <si>
    <t>L2C+12</t>
  </si>
  <si>
    <t>020_7_2</t>
  </si>
  <si>
    <t>021</t>
  </si>
  <si>
    <t>021_7_1</t>
  </si>
  <si>
    <t>L4</t>
  </si>
  <si>
    <t>021_7_2</t>
  </si>
  <si>
    <t>022</t>
  </si>
  <si>
    <t>022_2_3</t>
  </si>
  <si>
    <t>022_3_2</t>
  </si>
  <si>
    <t>022_3_3</t>
  </si>
  <si>
    <t>7C+A12B</t>
  </si>
  <si>
    <t>022_4_1</t>
  </si>
  <si>
    <t>022_5_1</t>
  </si>
  <si>
    <t>023</t>
  </si>
  <si>
    <t>023_1_1</t>
  </si>
  <si>
    <t>024</t>
  </si>
  <si>
    <t>024_2_1</t>
  </si>
  <si>
    <t>025</t>
  </si>
  <si>
    <t>025_4_1</t>
  </si>
  <si>
    <t>T18+39</t>
  </si>
  <si>
    <t>025_4_2</t>
  </si>
  <si>
    <t>13+39</t>
  </si>
  <si>
    <t>025_5_1</t>
  </si>
  <si>
    <t>4+13+T18+39</t>
  </si>
  <si>
    <t>025_6_1</t>
  </si>
  <si>
    <t>13+T18+39</t>
  </si>
  <si>
    <t>026</t>
  </si>
  <si>
    <t>026_1_1</t>
  </si>
  <si>
    <t>4+6+7+9+43E</t>
  </si>
  <si>
    <t>Blinks hard</t>
  </si>
  <si>
    <t>026_1_2</t>
  </si>
  <si>
    <t>026_2_1</t>
  </si>
  <si>
    <t>026_2_2</t>
  </si>
  <si>
    <t>4D+ref(6)+7C+43E</t>
  </si>
  <si>
    <t>026_2_3</t>
  </si>
  <si>
    <t>4B+7B+43E</t>
  </si>
  <si>
    <t>026_2_4</t>
  </si>
  <si>
    <t>2C</t>
  </si>
  <si>
    <t>026_3_3</t>
  </si>
  <si>
    <t>026_3_4</t>
  </si>
  <si>
    <t>026_5_1</t>
  </si>
  <si>
    <t>R14+17+soft focus</t>
  </si>
  <si>
    <t>026_6_1</t>
  </si>
  <si>
    <t>R14+R17</t>
  </si>
  <si>
    <t>026_7_1</t>
  </si>
  <si>
    <t>026_7_2</t>
  </si>
  <si>
    <t>026_7_3</t>
  </si>
  <si>
    <t>R10</t>
  </si>
  <si>
    <t>028</t>
  </si>
  <si>
    <t>028_4_1</t>
  </si>
  <si>
    <t>A14C</t>
  </si>
  <si>
    <t>028_4_3</t>
  </si>
  <si>
    <t>5B</t>
  </si>
  <si>
    <t>028_4_4</t>
  </si>
  <si>
    <t>030</t>
  </si>
  <si>
    <t>030_1_1</t>
  </si>
  <si>
    <t>4A/B</t>
  </si>
  <si>
    <t>030_1_2</t>
  </si>
  <si>
    <t>030_5_1</t>
  </si>
  <si>
    <t>4A</t>
  </si>
  <si>
    <t>031</t>
  </si>
  <si>
    <t>031_3_1</t>
  </si>
  <si>
    <t>032</t>
  </si>
  <si>
    <t>032_3_1</t>
  </si>
  <si>
    <t>032_3_2</t>
  </si>
  <si>
    <t>032_3_3</t>
  </si>
  <si>
    <t>24+38</t>
  </si>
  <si>
    <t>032_4_1</t>
  </si>
  <si>
    <t>032_4_2</t>
  </si>
  <si>
    <t>032_6_1</t>
  </si>
  <si>
    <t>033</t>
  </si>
  <si>
    <t>033_1_3</t>
  </si>
  <si>
    <t>12+39</t>
  </si>
  <si>
    <t>033_1_4</t>
  </si>
  <si>
    <t xml:space="preserve">12+15 </t>
  </si>
  <si>
    <t>033_1_5</t>
  </si>
  <si>
    <t>033_2_1</t>
  </si>
  <si>
    <t>033_2_2</t>
  </si>
  <si>
    <t>034</t>
  </si>
  <si>
    <t>034_3_1</t>
  </si>
  <si>
    <t>034_7_2</t>
  </si>
  <si>
    <t>Eye movement and tilted head</t>
  </si>
  <si>
    <t>034_7_3</t>
  </si>
  <si>
    <t>7B+56</t>
  </si>
  <si>
    <t>035</t>
  </si>
  <si>
    <t>035_1_1</t>
  </si>
  <si>
    <t>035_4_1</t>
  </si>
  <si>
    <t>035_4_2</t>
  </si>
  <si>
    <t>035_5_1</t>
  </si>
  <si>
    <t>035_5_2</t>
  </si>
  <si>
    <t>035_5_3</t>
  </si>
  <si>
    <t>R20</t>
  </si>
  <si>
    <t>035_6_3</t>
  </si>
  <si>
    <t>R20B</t>
  </si>
  <si>
    <t>035_7_1</t>
  </si>
  <si>
    <t>A1B+A2C</t>
  </si>
  <si>
    <t>035_7_2</t>
  </si>
  <si>
    <t>R14A or 17A or 24A</t>
  </si>
  <si>
    <t>036</t>
  </si>
  <si>
    <t>036_7_3</t>
  </si>
  <si>
    <t>R10A+25+26</t>
  </si>
  <si>
    <t>Stays with 25+26 and eye movement</t>
  </si>
  <si>
    <t>037</t>
  </si>
  <si>
    <t>037_3_1</t>
  </si>
  <si>
    <t>037_3_2</t>
  </si>
  <si>
    <t>T23</t>
  </si>
  <si>
    <t>037_4_1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</si>
</sst>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DengXian"/>
      <charset val="134"/>
      <scheme val="minor"/>
    </font>
    <font>
      <sz val="11"/>
      <name val="Arial Unicode MS"/>
      <charset val="134"/>
    </font>
    <font>
      <sz val="11"/>
      <color theme="1"/>
      <name val="Arial Unicode MS"/>
      <charset val="134"/>
    </font>
    <font>
      <sz val="11"/>
      <name val="DengXian"/>
      <charset val="134"/>
      <scheme val="minor"/>
    </font>
    <font>
      <u/>
      <sz val="11"/>
      <color rgb="FF0000FF"/>
      <name val="DengXian"/>
      <charset val="0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134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/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23" fillId="0" borderId="0">
      <alignment vertical="center"/>
    </xf>
  </cellStyleXfs>
  <cellXfs count="13">
    <xf numFmtId="0" fontId="0" fillId="0" borderId="0" xfId="0"/>
    <xf numFmtId="0" fontId="0" fillId="0" borderId="0" xfId="0" applyFont="1" applyFill="1"/>
    <xf numFmtId="0" fontId="0" fillId="0" borderId="0" xfId="0" applyFill="1"/>
    <xf numFmtId="49" fontId="1" fillId="0" borderId="0" xfId="49" applyNumberFormat="1" applyFont="1" applyFill="1" applyAlignment="1">
      <alignment vertical="center" wrapText="1"/>
    </xf>
    <xf numFmtId="3" fontId="1" fillId="0" borderId="0" xfId="49" applyNumberFormat="1" applyFont="1" applyFill="1" applyAlignment="1">
      <alignment vertical="center" wrapText="1"/>
    </xf>
    <xf numFmtId="3" fontId="2" fillId="0" borderId="0" xfId="0" applyNumberFormat="1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3" fontId="2" fillId="0" borderId="0" xfId="49" applyNumberFormat="1" applyFont="1" applyFill="1" applyAlignment="1">
      <alignment vertical="center" wrapText="1"/>
    </xf>
    <xf numFmtId="0" fontId="2" fillId="0" borderId="0" xfId="49" applyFont="1" applyFill="1" applyAlignment="1">
      <alignment vertical="center" wrapText="1"/>
    </xf>
    <xf numFmtId="3" fontId="1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left" vertical="center"/>
    </xf>
    <xf numFmtId="0" fontId="3" fillId="0" borderId="0" xfId="24" applyFont="1" applyFill="1" applyAlignment="1">
      <alignment horizontal="left" vertical="center"/>
    </xf>
    <xf numFmtId="49" fontId="2" fillId="0" borderId="0" xfId="0" applyNumberFormat="1" applyFont="1" applyFill="1" applyAlignment="1" quotePrefix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0"/>
  <sheetViews>
    <sheetView tabSelected="1" workbookViewId="0">
      <selection activeCell="J13" sqref="J13"/>
    </sheetView>
  </sheetViews>
  <sheetFormatPr defaultColWidth="11.1666666666667" defaultRowHeight="14"/>
  <cols>
    <col min="1" max="1" width="9.5" style="2" customWidth="1"/>
    <col min="2" max="2" width="13.3333333333333" style="2" customWidth="1"/>
    <col min="3" max="3" width="16" style="2" customWidth="1"/>
    <col min="4" max="6" width="10.5" style="2" customWidth="1"/>
    <col min="7" max="7" width="10.3333333333333" style="2" customWidth="1"/>
    <col min="8" max="8" width="12.6666666666667" style="2" customWidth="1"/>
    <col min="9" max="9" width="20" style="2" customWidth="1"/>
    <col min="10" max="10" width="14.3333333333333" style="2" customWidth="1"/>
    <col min="11" max="11" width="16.1666666666667" style="2" customWidth="1"/>
    <col min="12" max="12" width="38.1666666666667" style="2" customWidth="1"/>
    <col min="13" max="13" width="12.6666666666667" style="2"/>
    <col min="14" max="16384" width="11.1666666666667" style="2"/>
  </cols>
  <sheetData>
    <row r="1" s="1" customFormat="1" ht="35" customHeight="1" spans="1:13">
      <c r="A1" s="3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5" t="s">
        <v>5</v>
      </c>
      <c r="G1" s="7" t="s">
        <v>6</v>
      </c>
      <c r="H1" s="7" t="s">
        <v>7</v>
      </c>
      <c r="I1" s="8" t="s">
        <v>8</v>
      </c>
      <c r="J1" s="9" t="s">
        <v>9</v>
      </c>
      <c r="K1" s="4" t="s">
        <v>10</v>
      </c>
      <c r="L1" s="8" t="s">
        <v>11</v>
      </c>
      <c r="M1" s="10" t="s">
        <v>12</v>
      </c>
    </row>
    <row r="2" s="1" customFormat="1" spans="1:13">
      <c r="A2" s="11" t="s">
        <v>13</v>
      </c>
      <c r="B2" s="6" t="s">
        <v>14</v>
      </c>
      <c r="C2" s="6">
        <v>1</v>
      </c>
      <c r="D2" s="6">
        <v>5562</v>
      </c>
      <c r="E2" s="6">
        <v>5588</v>
      </c>
      <c r="F2" s="6">
        <v>5632</v>
      </c>
      <c r="G2" s="6">
        <f t="shared" ref="G2:G33" si="0">SUM(F2-D2)+1</f>
        <v>71</v>
      </c>
      <c r="H2" s="6" t="s">
        <v>15</v>
      </c>
      <c r="I2" s="6" t="s">
        <v>16</v>
      </c>
      <c r="J2" s="6" t="s">
        <v>17</v>
      </c>
      <c r="K2" s="6">
        <v>3</v>
      </c>
      <c r="L2" s="6"/>
      <c r="M2" s="1">
        <f>AVERAGE(G2:G160)</f>
        <v>74.314465408805</v>
      </c>
    </row>
    <row r="3" s="1" customFormat="1" spans="1:13">
      <c r="A3" s="11" t="s">
        <v>13</v>
      </c>
      <c r="B3" s="6" t="s">
        <v>18</v>
      </c>
      <c r="C3" s="6">
        <v>1</v>
      </c>
      <c r="D3" s="6">
        <v>3912</v>
      </c>
      <c r="E3" s="6">
        <v>3948</v>
      </c>
      <c r="F3" s="6">
        <v>3988</v>
      </c>
      <c r="G3" s="6">
        <f t="shared" si="0"/>
        <v>77</v>
      </c>
      <c r="H3" s="6" t="s">
        <v>15</v>
      </c>
      <c r="I3" s="6">
        <v>4</v>
      </c>
      <c r="J3" s="6" t="s">
        <v>17</v>
      </c>
      <c r="K3" s="6">
        <v>3</v>
      </c>
      <c r="L3" s="6" t="s">
        <v>19</v>
      </c>
    </row>
    <row r="4" s="1" customFormat="1" spans="1:13">
      <c r="A4" s="11" t="s">
        <v>13</v>
      </c>
      <c r="B4" s="6" t="s">
        <v>20</v>
      </c>
      <c r="C4" s="6">
        <v>1</v>
      </c>
      <c r="D4" s="6">
        <v>2324</v>
      </c>
      <c r="E4" s="6">
        <v>2368</v>
      </c>
      <c r="F4" s="6">
        <v>2403</v>
      </c>
      <c r="G4" s="6">
        <f t="shared" si="0"/>
        <v>80</v>
      </c>
      <c r="H4" s="6" t="s">
        <v>15</v>
      </c>
      <c r="I4" s="6" t="s">
        <v>16</v>
      </c>
      <c r="J4" s="6" t="s">
        <v>17</v>
      </c>
      <c r="K4" s="6">
        <v>3</v>
      </c>
      <c r="L4" s="6"/>
    </row>
    <row r="5" s="1" customFormat="1" spans="1:13">
      <c r="A5" s="11" t="s">
        <v>13</v>
      </c>
      <c r="B5" s="6" t="s">
        <v>21</v>
      </c>
      <c r="C5" s="6">
        <v>1</v>
      </c>
      <c r="D5" s="6">
        <v>5343</v>
      </c>
      <c r="E5" s="6">
        <v>5388</v>
      </c>
      <c r="F5" s="6">
        <v>5424</v>
      </c>
      <c r="G5" s="6">
        <f t="shared" si="0"/>
        <v>82</v>
      </c>
      <c r="H5" s="6" t="s">
        <v>15</v>
      </c>
      <c r="I5" s="6" t="s">
        <v>16</v>
      </c>
      <c r="J5" s="6" t="s">
        <v>17</v>
      </c>
      <c r="K5" s="6">
        <v>3</v>
      </c>
      <c r="L5" s="6"/>
    </row>
    <row r="6" s="1" customFormat="1" spans="1:13">
      <c r="A6" s="11" t="s">
        <v>13</v>
      </c>
      <c r="B6" s="6" t="s">
        <v>22</v>
      </c>
      <c r="C6" s="6">
        <v>1</v>
      </c>
      <c r="D6" s="6">
        <v>7160</v>
      </c>
      <c r="E6" s="6">
        <v>7197</v>
      </c>
      <c r="F6" s="6">
        <v>7259</v>
      </c>
      <c r="G6" s="6">
        <f t="shared" si="0"/>
        <v>100</v>
      </c>
      <c r="H6" s="6" t="s">
        <v>15</v>
      </c>
      <c r="I6" s="6" t="s">
        <v>23</v>
      </c>
      <c r="J6" s="6" t="s">
        <v>17</v>
      </c>
      <c r="K6" s="6">
        <v>7</v>
      </c>
      <c r="L6" s="6" t="s">
        <v>24</v>
      </c>
    </row>
    <row r="7" s="1" customFormat="1" spans="1:13">
      <c r="A7" s="11" t="s">
        <v>13</v>
      </c>
      <c r="B7" s="6" t="s">
        <v>25</v>
      </c>
      <c r="C7" s="6">
        <v>2</v>
      </c>
      <c r="D7" s="6">
        <v>180</v>
      </c>
      <c r="E7" s="6">
        <v>217</v>
      </c>
      <c r="F7" s="6">
        <v>274</v>
      </c>
      <c r="G7" s="6">
        <f t="shared" si="0"/>
        <v>95</v>
      </c>
      <c r="H7" s="6" t="s">
        <v>15</v>
      </c>
      <c r="I7" s="6" t="s">
        <v>16</v>
      </c>
      <c r="J7" s="6" t="s">
        <v>17</v>
      </c>
      <c r="K7" s="6">
        <v>3</v>
      </c>
      <c r="L7" s="6"/>
    </row>
    <row r="8" s="1" customFormat="1" spans="1:13">
      <c r="A8" s="11" t="s">
        <v>13</v>
      </c>
      <c r="B8" s="6" t="s">
        <v>26</v>
      </c>
      <c r="C8" s="6">
        <v>3</v>
      </c>
      <c r="D8" s="6">
        <v>639</v>
      </c>
      <c r="E8" s="6">
        <v>668</v>
      </c>
      <c r="F8" s="6">
        <v>702</v>
      </c>
      <c r="G8" s="6">
        <f t="shared" si="0"/>
        <v>64</v>
      </c>
      <c r="H8" s="6" t="s">
        <v>15</v>
      </c>
      <c r="I8" s="6" t="s">
        <v>27</v>
      </c>
      <c r="J8" s="6" t="s">
        <v>28</v>
      </c>
      <c r="K8" s="6">
        <v>5</v>
      </c>
      <c r="L8" s="6"/>
    </row>
    <row r="9" s="1" customFormat="1" spans="1:13">
      <c r="A9" s="11" t="s">
        <v>13</v>
      </c>
      <c r="B9" s="6" t="s">
        <v>29</v>
      </c>
      <c r="C9" s="6">
        <v>3</v>
      </c>
      <c r="D9" s="6">
        <v>1787</v>
      </c>
      <c r="E9" s="6">
        <v>1829</v>
      </c>
      <c r="F9" s="6">
        <v>1856</v>
      </c>
      <c r="G9" s="6">
        <f t="shared" si="0"/>
        <v>70</v>
      </c>
      <c r="H9" s="6" t="s">
        <v>15</v>
      </c>
      <c r="I9" s="6" t="s">
        <v>30</v>
      </c>
      <c r="J9" s="6" t="s">
        <v>31</v>
      </c>
      <c r="K9" s="6">
        <v>2</v>
      </c>
      <c r="L9" s="6"/>
    </row>
    <row r="10" s="1" customFormat="1" spans="1:13">
      <c r="A10" s="11" t="s">
        <v>13</v>
      </c>
      <c r="B10" s="6" t="s">
        <v>32</v>
      </c>
      <c r="C10" s="6">
        <v>5</v>
      </c>
      <c r="D10" s="6">
        <v>1436</v>
      </c>
      <c r="E10" s="6">
        <v>1465</v>
      </c>
      <c r="F10" s="6">
        <v>1514</v>
      </c>
      <c r="G10" s="6">
        <f t="shared" si="0"/>
        <v>79</v>
      </c>
      <c r="H10" s="6" t="s">
        <v>15</v>
      </c>
      <c r="I10" s="6" t="s">
        <v>33</v>
      </c>
      <c r="J10" s="6" t="s">
        <v>34</v>
      </c>
      <c r="K10" s="6">
        <v>6</v>
      </c>
      <c r="L10" s="6" t="s">
        <v>35</v>
      </c>
    </row>
    <row r="11" s="1" customFormat="1" spans="1:13">
      <c r="A11" s="11" t="s">
        <v>13</v>
      </c>
      <c r="B11" s="6" t="s">
        <v>36</v>
      </c>
      <c r="C11" s="6">
        <v>5</v>
      </c>
      <c r="D11" s="6">
        <v>2130</v>
      </c>
      <c r="E11" s="6">
        <v>2190</v>
      </c>
      <c r="F11" s="6">
        <v>2226</v>
      </c>
      <c r="G11" s="6">
        <f t="shared" si="0"/>
        <v>97</v>
      </c>
      <c r="H11" s="6" t="s">
        <v>15</v>
      </c>
      <c r="I11" s="6">
        <v>4</v>
      </c>
      <c r="J11" s="6" t="s">
        <v>17</v>
      </c>
      <c r="K11" s="6">
        <v>3</v>
      </c>
      <c r="L11" s="6" t="s">
        <v>37</v>
      </c>
    </row>
    <row r="12" s="1" customFormat="1" spans="1:13">
      <c r="A12" s="11" t="s">
        <v>13</v>
      </c>
      <c r="B12" s="6" t="s">
        <v>38</v>
      </c>
      <c r="C12" s="6">
        <v>5</v>
      </c>
      <c r="D12" s="6">
        <v>5258</v>
      </c>
      <c r="E12" s="6">
        <v>5282</v>
      </c>
      <c r="F12" s="6">
        <v>5351</v>
      </c>
      <c r="G12" s="6">
        <f t="shared" si="0"/>
        <v>94</v>
      </c>
      <c r="H12" s="6" t="s">
        <v>15</v>
      </c>
      <c r="I12" s="6">
        <v>5</v>
      </c>
      <c r="J12" s="6" t="s">
        <v>31</v>
      </c>
      <c r="K12" s="6">
        <v>2</v>
      </c>
      <c r="L12" s="6"/>
    </row>
    <row r="13" s="1" customFormat="1" spans="1:13">
      <c r="A13" s="11" t="s">
        <v>39</v>
      </c>
      <c r="B13" s="6" t="s">
        <v>40</v>
      </c>
      <c r="C13" s="6">
        <v>3</v>
      </c>
      <c r="D13" s="6">
        <v>2046</v>
      </c>
      <c r="E13" s="6">
        <v>2062</v>
      </c>
      <c r="F13" s="6">
        <v>2091</v>
      </c>
      <c r="G13" s="6">
        <f t="shared" si="0"/>
        <v>46</v>
      </c>
      <c r="H13" s="6" t="s">
        <v>15</v>
      </c>
      <c r="I13" s="6">
        <v>20</v>
      </c>
      <c r="J13" s="6" t="s">
        <v>34</v>
      </c>
      <c r="K13" s="6">
        <v>6</v>
      </c>
      <c r="L13" s="6"/>
    </row>
    <row r="14" s="1" customFormat="1" spans="1:13">
      <c r="A14" s="11" t="s">
        <v>39</v>
      </c>
      <c r="B14" s="6" t="s">
        <v>41</v>
      </c>
      <c r="C14" s="6">
        <v>4</v>
      </c>
      <c r="D14" s="6">
        <v>5900</v>
      </c>
      <c r="E14" s="6">
        <v>5943</v>
      </c>
      <c r="F14" s="6">
        <v>5999</v>
      </c>
      <c r="G14" s="6">
        <f t="shared" si="0"/>
        <v>100</v>
      </c>
      <c r="H14" s="6" t="s">
        <v>15</v>
      </c>
      <c r="I14" s="6">
        <v>24</v>
      </c>
      <c r="J14" s="6" t="s">
        <v>42</v>
      </c>
      <c r="K14" s="6">
        <v>7</v>
      </c>
      <c r="L14" s="6" t="s">
        <v>43</v>
      </c>
    </row>
    <row r="15" s="1" customFormat="1" spans="1:13">
      <c r="A15" s="11" t="s">
        <v>39</v>
      </c>
      <c r="B15" s="6" t="s">
        <v>44</v>
      </c>
      <c r="C15" s="6">
        <v>5</v>
      </c>
      <c r="D15" s="6">
        <v>2759</v>
      </c>
      <c r="E15" s="6">
        <v>2797</v>
      </c>
      <c r="F15" s="6">
        <v>2835</v>
      </c>
      <c r="G15" s="6">
        <f t="shared" si="0"/>
        <v>77</v>
      </c>
      <c r="H15" s="6" t="s">
        <v>15</v>
      </c>
      <c r="I15" s="6">
        <v>26</v>
      </c>
      <c r="J15" s="6" t="s">
        <v>31</v>
      </c>
      <c r="K15" s="6">
        <v>7</v>
      </c>
      <c r="L15" s="6"/>
    </row>
    <row r="16" s="1" customFormat="1" spans="1:13">
      <c r="A16" s="11" t="s">
        <v>39</v>
      </c>
      <c r="B16" s="6" t="s">
        <v>45</v>
      </c>
      <c r="C16" s="6">
        <v>5</v>
      </c>
      <c r="D16" s="6">
        <v>5433</v>
      </c>
      <c r="E16" s="6">
        <v>5475</v>
      </c>
      <c r="F16" s="6">
        <v>5532</v>
      </c>
      <c r="G16" s="6">
        <f t="shared" si="0"/>
        <v>100</v>
      </c>
      <c r="H16" s="6" t="s">
        <v>15</v>
      </c>
      <c r="I16" s="6" t="s">
        <v>46</v>
      </c>
      <c r="J16" s="6" t="s">
        <v>42</v>
      </c>
      <c r="K16" s="6">
        <v>7</v>
      </c>
      <c r="L16" s="6"/>
    </row>
    <row r="17" s="1" customFormat="1" spans="1:12">
      <c r="A17" s="11" t="s">
        <v>39</v>
      </c>
      <c r="B17" s="6" t="s">
        <v>47</v>
      </c>
      <c r="C17" s="6">
        <v>6</v>
      </c>
      <c r="D17" s="6">
        <v>497</v>
      </c>
      <c r="E17" s="6">
        <v>511</v>
      </c>
      <c r="F17" s="6">
        <v>541</v>
      </c>
      <c r="G17" s="6">
        <f t="shared" si="0"/>
        <v>45</v>
      </c>
      <c r="H17" s="6" t="s">
        <v>15</v>
      </c>
      <c r="I17" s="6" t="s">
        <v>48</v>
      </c>
      <c r="J17" s="6" t="s">
        <v>49</v>
      </c>
      <c r="K17" s="6">
        <v>7</v>
      </c>
      <c r="L17" s="6"/>
    </row>
    <row r="18" s="1" customFormat="1" spans="1:12">
      <c r="A18" s="11" t="s">
        <v>39</v>
      </c>
      <c r="B18" s="6" t="s">
        <v>50</v>
      </c>
      <c r="C18" s="6">
        <v>6</v>
      </c>
      <c r="D18" s="6">
        <v>1296</v>
      </c>
      <c r="E18" s="6">
        <v>1326</v>
      </c>
      <c r="F18" s="6">
        <v>1377</v>
      </c>
      <c r="G18" s="6">
        <f t="shared" si="0"/>
        <v>82</v>
      </c>
      <c r="H18" s="6" t="s">
        <v>15</v>
      </c>
      <c r="I18" s="6">
        <v>12</v>
      </c>
      <c r="J18" s="6" t="s">
        <v>49</v>
      </c>
      <c r="K18" s="6">
        <v>1</v>
      </c>
      <c r="L18" s="6"/>
    </row>
    <row r="19" s="1" customFormat="1" spans="1:12">
      <c r="A19" s="11" t="s">
        <v>39</v>
      </c>
      <c r="B19" s="6" t="s">
        <v>51</v>
      </c>
      <c r="C19" s="6">
        <v>6</v>
      </c>
      <c r="D19" s="6">
        <v>2560</v>
      </c>
      <c r="E19" s="6">
        <v>2592</v>
      </c>
      <c r="F19" s="6">
        <v>2617</v>
      </c>
      <c r="G19" s="6">
        <f t="shared" si="0"/>
        <v>58</v>
      </c>
      <c r="H19" s="6" t="s">
        <v>15</v>
      </c>
      <c r="I19" s="6" t="s">
        <v>52</v>
      </c>
      <c r="J19" s="6" t="s">
        <v>49</v>
      </c>
      <c r="K19" s="6">
        <v>1</v>
      </c>
      <c r="L19" s="6"/>
    </row>
    <row r="20" s="1" customFormat="1" spans="1:12">
      <c r="A20" s="11" t="s">
        <v>39</v>
      </c>
      <c r="B20" s="6" t="s">
        <v>53</v>
      </c>
      <c r="C20" s="6">
        <v>6</v>
      </c>
      <c r="D20" s="6">
        <v>649</v>
      </c>
      <c r="E20" s="6">
        <v>673</v>
      </c>
      <c r="F20" s="6">
        <v>723</v>
      </c>
      <c r="G20" s="6">
        <f t="shared" si="0"/>
        <v>75</v>
      </c>
      <c r="H20" s="6" t="s">
        <v>15</v>
      </c>
      <c r="I20" s="6" t="s">
        <v>54</v>
      </c>
      <c r="J20" s="6" t="s">
        <v>49</v>
      </c>
      <c r="K20" s="6">
        <v>7</v>
      </c>
      <c r="L20" s="6"/>
    </row>
    <row r="21" s="1" customFormat="1" spans="1:12">
      <c r="A21" s="11" t="s">
        <v>39</v>
      </c>
      <c r="B21" s="6" t="s">
        <v>55</v>
      </c>
      <c r="C21" s="6">
        <v>7</v>
      </c>
      <c r="D21" s="6">
        <v>7030</v>
      </c>
      <c r="E21" s="6">
        <v>7056</v>
      </c>
      <c r="F21" s="6">
        <v>7070</v>
      </c>
      <c r="G21" s="6">
        <f t="shared" si="0"/>
        <v>41</v>
      </c>
      <c r="H21" s="6" t="s">
        <v>15</v>
      </c>
      <c r="I21" s="6" t="s">
        <v>56</v>
      </c>
      <c r="J21" s="6" t="s">
        <v>31</v>
      </c>
      <c r="K21" s="6">
        <v>2</v>
      </c>
      <c r="L21" s="6"/>
    </row>
    <row r="22" s="1" customFormat="1" spans="1:12">
      <c r="A22" s="11" t="s">
        <v>39</v>
      </c>
      <c r="B22" s="6" t="s">
        <v>57</v>
      </c>
      <c r="C22" s="6">
        <v>7</v>
      </c>
      <c r="D22" s="6">
        <v>554</v>
      </c>
      <c r="E22" s="6">
        <v>585</v>
      </c>
      <c r="F22" s="6">
        <v>637</v>
      </c>
      <c r="G22" s="6">
        <f t="shared" si="0"/>
        <v>84</v>
      </c>
      <c r="H22" s="6" t="s">
        <v>15</v>
      </c>
      <c r="I22" s="6" t="s">
        <v>58</v>
      </c>
      <c r="J22" s="6" t="s">
        <v>49</v>
      </c>
      <c r="K22" s="6">
        <v>1</v>
      </c>
      <c r="L22" s="6"/>
    </row>
    <row r="23" s="1" customFormat="1" spans="1:12">
      <c r="A23" s="11" t="s">
        <v>59</v>
      </c>
      <c r="B23" s="6" t="s">
        <v>60</v>
      </c>
      <c r="C23" s="6">
        <v>2</v>
      </c>
      <c r="D23" s="6">
        <v>3577</v>
      </c>
      <c r="E23" s="6">
        <v>3602</v>
      </c>
      <c r="F23" s="6">
        <v>3641</v>
      </c>
      <c r="G23" s="6">
        <f t="shared" si="0"/>
        <v>65</v>
      </c>
      <c r="H23" s="6" t="s">
        <v>15</v>
      </c>
      <c r="I23" s="6">
        <v>31</v>
      </c>
      <c r="J23" s="6" t="s">
        <v>34</v>
      </c>
      <c r="K23" s="6">
        <v>7</v>
      </c>
      <c r="L23" s="6"/>
    </row>
    <row r="24" s="1" customFormat="1" spans="1:12">
      <c r="A24" s="11" t="s">
        <v>59</v>
      </c>
      <c r="B24" s="6" t="s">
        <v>61</v>
      </c>
      <c r="C24" s="6">
        <v>3</v>
      </c>
      <c r="D24" s="6">
        <v>1856</v>
      </c>
      <c r="E24" s="6">
        <v>1891</v>
      </c>
      <c r="F24" s="6">
        <v>1932</v>
      </c>
      <c r="G24" s="6">
        <f t="shared" si="0"/>
        <v>77</v>
      </c>
      <c r="H24" s="6" t="s">
        <v>15</v>
      </c>
      <c r="I24" s="6" t="s">
        <v>62</v>
      </c>
      <c r="J24" s="6" t="s">
        <v>17</v>
      </c>
      <c r="K24" s="6">
        <v>7</v>
      </c>
      <c r="L24" s="6"/>
    </row>
    <row r="25" s="1" customFormat="1" spans="1:12">
      <c r="A25" s="11" t="s">
        <v>59</v>
      </c>
      <c r="B25" s="6" t="s">
        <v>63</v>
      </c>
      <c r="C25" s="6">
        <v>3</v>
      </c>
      <c r="D25" s="6">
        <v>1968</v>
      </c>
      <c r="E25" s="6">
        <v>2010</v>
      </c>
      <c r="F25" s="6">
        <v>2045</v>
      </c>
      <c r="G25" s="6">
        <f t="shared" si="0"/>
        <v>78</v>
      </c>
      <c r="H25" s="6" t="s">
        <v>15</v>
      </c>
      <c r="I25" s="6" t="s">
        <v>62</v>
      </c>
      <c r="J25" s="6" t="s">
        <v>17</v>
      </c>
      <c r="K25" s="6">
        <v>7</v>
      </c>
      <c r="L25" s="6"/>
    </row>
    <row r="26" s="1" customFormat="1" spans="1:12">
      <c r="A26" s="11" t="s">
        <v>59</v>
      </c>
      <c r="B26" s="6" t="s">
        <v>64</v>
      </c>
      <c r="C26" s="6">
        <v>3</v>
      </c>
      <c r="D26" s="6">
        <v>3334</v>
      </c>
      <c r="E26" s="6">
        <v>3370</v>
      </c>
      <c r="F26" s="6">
        <v>3419</v>
      </c>
      <c r="G26" s="6">
        <f t="shared" si="0"/>
        <v>86</v>
      </c>
      <c r="H26" s="6" t="s">
        <v>15</v>
      </c>
      <c r="I26" s="6" t="s">
        <v>65</v>
      </c>
      <c r="J26" s="6" t="s">
        <v>31</v>
      </c>
      <c r="K26" s="6">
        <v>2</v>
      </c>
      <c r="L26" s="6"/>
    </row>
    <row r="27" s="1" customFormat="1" spans="1:12">
      <c r="A27" s="11" t="s">
        <v>66</v>
      </c>
      <c r="B27" s="6" t="s">
        <v>67</v>
      </c>
      <c r="C27" s="6">
        <v>2</v>
      </c>
      <c r="D27" s="6">
        <v>192</v>
      </c>
      <c r="E27" s="6">
        <v>206</v>
      </c>
      <c r="F27" s="6">
        <v>228</v>
      </c>
      <c r="G27" s="6">
        <f t="shared" si="0"/>
        <v>37</v>
      </c>
      <c r="H27" s="6" t="s">
        <v>15</v>
      </c>
      <c r="I27" s="6" t="s">
        <v>68</v>
      </c>
      <c r="J27" s="6" t="s">
        <v>17</v>
      </c>
      <c r="K27" s="6">
        <v>7</v>
      </c>
      <c r="L27" s="6"/>
    </row>
    <row r="28" s="1" customFormat="1" spans="1:12">
      <c r="A28" s="11" t="s">
        <v>66</v>
      </c>
      <c r="B28" s="6" t="s">
        <v>69</v>
      </c>
      <c r="C28" s="6">
        <v>2</v>
      </c>
      <c r="D28" s="6">
        <v>1211</v>
      </c>
      <c r="E28" s="6">
        <v>1239</v>
      </c>
      <c r="F28" s="6">
        <v>1288</v>
      </c>
      <c r="G28" s="6">
        <f t="shared" si="0"/>
        <v>78</v>
      </c>
      <c r="H28" s="6" t="s">
        <v>15</v>
      </c>
      <c r="I28" s="6" t="s">
        <v>70</v>
      </c>
      <c r="J28" s="6" t="s">
        <v>17</v>
      </c>
      <c r="K28" s="6">
        <v>7</v>
      </c>
      <c r="L28" s="6"/>
    </row>
    <row r="29" s="1" customFormat="1" spans="1:12">
      <c r="A29" s="11" t="s">
        <v>66</v>
      </c>
      <c r="B29" s="6" t="s">
        <v>71</v>
      </c>
      <c r="C29" s="6">
        <v>4</v>
      </c>
      <c r="D29" s="6">
        <v>3528</v>
      </c>
      <c r="E29" s="6">
        <v>3548</v>
      </c>
      <c r="F29" s="6">
        <v>3557</v>
      </c>
      <c r="G29" s="6">
        <f t="shared" si="0"/>
        <v>30</v>
      </c>
      <c r="H29" s="6" t="s">
        <v>15</v>
      </c>
      <c r="I29" s="6" t="s">
        <v>72</v>
      </c>
      <c r="J29" s="6" t="s">
        <v>17</v>
      </c>
      <c r="K29" s="6">
        <v>7</v>
      </c>
      <c r="L29" s="6"/>
    </row>
    <row r="30" s="1" customFormat="1" spans="1:12">
      <c r="A30" s="11" t="s">
        <v>66</v>
      </c>
      <c r="B30" s="6" t="s">
        <v>73</v>
      </c>
      <c r="C30" s="6">
        <v>4</v>
      </c>
      <c r="D30" s="6">
        <v>6708</v>
      </c>
      <c r="E30" s="6">
        <v>6730</v>
      </c>
      <c r="F30" s="6">
        <v>6738</v>
      </c>
      <c r="G30" s="6">
        <f t="shared" si="0"/>
        <v>31</v>
      </c>
      <c r="H30" s="6" t="s">
        <v>15</v>
      </c>
      <c r="I30" s="6" t="s">
        <v>74</v>
      </c>
      <c r="J30" s="6" t="s">
        <v>17</v>
      </c>
      <c r="K30" s="6">
        <v>7</v>
      </c>
      <c r="L30" s="6"/>
    </row>
    <row r="31" s="1" customFormat="1" spans="1:12">
      <c r="A31" s="11" t="s">
        <v>75</v>
      </c>
      <c r="B31" s="6" t="s">
        <v>76</v>
      </c>
      <c r="C31" s="6">
        <v>1</v>
      </c>
      <c r="D31" s="6">
        <v>3080</v>
      </c>
      <c r="E31" s="6">
        <v>3131</v>
      </c>
      <c r="F31" s="6">
        <v>3168</v>
      </c>
      <c r="G31" s="6">
        <f t="shared" si="0"/>
        <v>89</v>
      </c>
      <c r="H31" s="6" t="s">
        <v>15</v>
      </c>
      <c r="I31" s="6" t="s">
        <v>77</v>
      </c>
      <c r="J31" s="6" t="s">
        <v>17</v>
      </c>
      <c r="K31" s="6">
        <v>7</v>
      </c>
      <c r="L31" s="6"/>
    </row>
    <row r="32" s="1" customFormat="1" spans="1:12">
      <c r="A32" s="11" t="s">
        <v>75</v>
      </c>
      <c r="B32" s="6" t="s">
        <v>78</v>
      </c>
      <c r="C32" s="6">
        <v>2</v>
      </c>
      <c r="D32" s="6">
        <v>2029</v>
      </c>
      <c r="E32" s="6">
        <v>2050</v>
      </c>
      <c r="F32" s="6">
        <v>2068</v>
      </c>
      <c r="G32" s="6">
        <f t="shared" si="0"/>
        <v>40</v>
      </c>
      <c r="H32" s="6" t="s">
        <v>15</v>
      </c>
      <c r="I32" s="6" t="s">
        <v>79</v>
      </c>
      <c r="J32" s="6" t="s">
        <v>80</v>
      </c>
      <c r="K32" s="6">
        <v>4</v>
      </c>
      <c r="L32" s="6" t="s">
        <v>81</v>
      </c>
    </row>
    <row r="33" s="1" customFormat="1" spans="1:12">
      <c r="A33" s="11" t="s">
        <v>75</v>
      </c>
      <c r="B33" s="6" t="s">
        <v>82</v>
      </c>
      <c r="C33" s="6">
        <v>2</v>
      </c>
      <c r="D33" s="6">
        <v>2069</v>
      </c>
      <c r="E33" s="6">
        <v>2114</v>
      </c>
      <c r="F33" s="6">
        <v>2125</v>
      </c>
      <c r="G33" s="6">
        <f t="shared" si="0"/>
        <v>57</v>
      </c>
      <c r="H33" s="6" t="s">
        <v>15</v>
      </c>
      <c r="I33" s="6">
        <v>9</v>
      </c>
      <c r="J33" s="6" t="s">
        <v>80</v>
      </c>
      <c r="K33" s="6">
        <v>4</v>
      </c>
      <c r="L33" s="6"/>
    </row>
    <row r="34" s="1" customFormat="1" spans="1:12">
      <c r="A34" s="11" t="s">
        <v>75</v>
      </c>
      <c r="B34" s="6" t="s">
        <v>83</v>
      </c>
      <c r="C34" s="6">
        <v>2</v>
      </c>
      <c r="D34" s="6">
        <v>3885</v>
      </c>
      <c r="E34" s="6">
        <v>3921</v>
      </c>
      <c r="F34" s="6">
        <v>3974</v>
      </c>
      <c r="G34" s="6">
        <f t="shared" ref="G34:G65" si="1">SUM(F34-D34)+1</f>
        <v>90</v>
      </c>
      <c r="H34" s="6" t="s">
        <v>15</v>
      </c>
      <c r="I34" s="6" t="s">
        <v>84</v>
      </c>
      <c r="J34" s="6" t="s">
        <v>80</v>
      </c>
      <c r="K34" s="6">
        <v>4</v>
      </c>
      <c r="L34" s="6"/>
    </row>
    <row r="35" s="1" customFormat="1" spans="1:12">
      <c r="A35" s="11" t="s">
        <v>75</v>
      </c>
      <c r="B35" s="6" t="s">
        <v>85</v>
      </c>
      <c r="C35" s="6">
        <v>2</v>
      </c>
      <c r="D35" s="6">
        <v>3361</v>
      </c>
      <c r="E35" s="6">
        <v>3402</v>
      </c>
      <c r="F35" s="6">
        <v>3449</v>
      </c>
      <c r="G35" s="6">
        <f t="shared" si="1"/>
        <v>89</v>
      </c>
      <c r="H35" s="6" t="s">
        <v>15</v>
      </c>
      <c r="I35" s="6" t="s">
        <v>86</v>
      </c>
      <c r="J35" s="6" t="s">
        <v>49</v>
      </c>
      <c r="K35" s="6">
        <v>1</v>
      </c>
      <c r="L35" s="6"/>
    </row>
    <row r="36" s="1" customFormat="1" spans="1:12">
      <c r="A36" s="11" t="s">
        <v>75</v>
      </c>
      <c r="B36" s="6" t="s">
        <v>87</v>
      </c>
      <c r="C36" s="6">
        <v>3</v>
      </c>
      <c r="D36" s="6">
        <v>2363</v>
      </c>
      <c r="E36" s="6">
        <v>2395</v>
      </c>
      <c r="F36" s="6">
        <v>2411</v>
      </c>
      <c r="G36" s="6">
        <f t="shared" si="1"/>
        <v>49</v>
      </c>
      <c r="H36" s="6" t="s">
        <v>15</v>
      </c>
      <c r="I36" s="6" t="s">
        <v>88</v>
      </c>
      <c r="J36" s="6" t="s">
        <v>17</v>
      </c>
      <c r="K36" s="6">
        <v>7</v>
      </c>
      <c r="L36" s="6"/>
    </row>
    <row r="37" s="1" customFormat="1" spans="1:12">
      <c r="A37" s="11" t="s">
        <v>75</v>
      </c>
      <c r="B37" s="6" t="s">
        <v>89</v>
      </c>
      <c r="C37" s="6">
        <v>3</v>
      </c>
      <c r="D37" s="6">
        <v>2841</v>
      </c>
      <c r="E37" s="6">
        <v>2891</v>
      </c>
      <c r="F37" s="6">
        <v>2920</v>
      </c>
      <c r="G37" s="6">
        <f t="shared" si="1"/>
        <v>80</v>
      </c>
      <c r="H37" s="6" t="s">
        <v>15</v>
      </c>
      <c r="I37" s="6" t="s">
        <v>90</v>
      </c>
      <c r="J37" s="6" t="s">
        <v>49</v>
      </c>
      <c r="K37" s="12">
        <v>1</v>
      </c>
      <c r="L37" s="6"/>
    </row>
    <row r="38" s="1" customFormat="1" spans="1:12">
      <c r="A38" s="11" t="s">
        <v>75</v>
      </c>
      <c r="B38" s="6" t="s">
        <v>91</v>
      </c>
      <c r="C38" s="6">
        <v>3</v>
      </c>
      <c r="D38" s="6">
        <v>2944</v>
      </c>
      <c r="E38" s="6">
        <v>3007</v>
      </c>
      <c r="F38" s="6">
        <v>3031</v>
      </c>
      <c r="G38" s="6">
        <f t="shared" si="1"/>
        <v>88</v>
      </c>
      <c r="H38" s="6" t="s">
        <v>15</v>
      </c>
      <c r="I38" s="6" t="s">
        <v>92</v>
      </c>
      <c r="J38" s="6" t="s">
        <v>49</v>
      </c>
      <c r="K38" s="6">
        <v>1</v>
      </c>
      <c r="L38" s="6" t="s">
        <v>93</v>
      </c>
    </row>
    <row r="39" s="1" customFormat="1" spans="1:12">
      <c r="A39" s="11" t="s">
        <v>75</v>
      </c>
      <c r="B39" s="6" t="s">
        <v>94</v>
      </c>
      <c r="C39" s="6">
        <v>3</v>
      </c>
      <c r="D39" s="6">
        <v>3208</v>
      </c>
      <c r="E39" s="6">
        <v>3253</v>
      </c>
      <c r="F39" s="6">
        <v>3308</v>
      </c>
      <c r="G39" s="6">
        <f t="shared" si="1"/>
        <v>101</v>
      </c>
      <c r="H39" s="6" t="s">
        <v>15</v>
      </c>
      <c r="I39" s="6" t="s">
        <v>95</v>
      </c>
      <c r="J39" s="6" t="s">
        <v>49</v>
      </c>
      <c r="K39" s="6">
        <v>1</v>
      </c>
      <c r="L39" s="6"/>
    </row>
    <row r="40" s="1" customFormat="1" spans="1:12">
      <c r="A40" s="11" t="s">
        <v>75</v>
      </c>
      <c r="B40" s="6" t="s">
        <v>96</v>
      </c>
      <c r="C40" s="6">
        <v>4</v>
      </c>
      <c r="D40" s="6">
        <v>6750</v>
      </c>
      <c r="E40" s="6">
        <v>6771</v>
      </c>
      <c r="F40" s="6">
        <v>6803</v>
      </c>
      <c r="G40" s="6">
        <f t="shared" si="1"/>
        <v>54</v>
      </c>
      <c r="H40" s="6" t="s">
        <v>15</v>
      </c>
      <c r="I40" s="6" t="s">
        <v>97</v>
      </c>
      <c r="J40" s="6" t="s">
        <v>17</v>
      </c>
      <c r="K40" s="6">
        <v>7</v>
      </c>
      <c r="L40" s="6"/>
    </row>
    <row r="41" s="1" customFormat="1" spans="1:12">
      <c r="A41" s="11" t="s">
        <v>75</v>
      </c>
      <c r="B41" s="6" t="s">
        <v>98</v>
      </c>
      <c r="C41" s="6">
        <v>4</v>
      </c>
      <c r="D41" s="6">
        <v>4158</v>
      </c>
      <c r="E41" s="6">
        <v>4194</v>
      </c>
      <c r="F41" s="6">
        <v>4254</v>
      </c>
      <c r="G41" s="6">
        <f t="shared" si="1"/>
        <v>97</v>
      </c>
      <c r="H41" s="6" t="s">
        <v>15</v>
      </c>
      <c r="I41" s="6" t="s">
        <v>77</v>
      </c>
      <c r="J41" s="6" t="s">
        <v>17</v>
      </c>
      <c r="K41" s="6">
        <v>7</v>
      </c>
      <c r="L41" s="6" t="s">
        <v>93</v>
      </c>
    </row>
    <row r="42" s="1" customFormat="1" spans="1:12">
      <c r="A42" s="11" t="s">
        <v>75</v>
      </c>
      <c r="B42" s="6" t="s">
        <v>99</v>
      </c>
      <c r="C42" s="6">
        <v>4</v>
      </c>
      <c r="D42" s="6">
        <v>2755</v>
      </c>
      <c r="E42" s="6">
        <v>2791</v>
      </c>
      <c r="F42" s="6">
        <v>2853</v>
      </c>
      <c r="G42" s="6">
        <f t="shared" si="1"/>
        <v>99</v>
      </c>
      <c r="H42" s="6" t="s">
        <v>15</v>
      </c>
      <c r="I42" s="6">
        <v>7</v>
      </c>
      <c r="J42" s="6" t="s">
        <v>17</v>
      </c>
      <c r="K42" s="6">
        <v>7</v>
      </c>
      <c r="L42" s="6" t="s">
        <v>93</v>
      </c>
    </row>
    <row r="43" s="1" customFormat="1" spans="1:12">
      <c r="A43" s="11" t="s">
        <v>75</v>
      </c>
      <c r="B43" s="6" t="s">
        <v>100</v>
      </c>
      <c r="C43" s="6">
        <v>4</v>
      </c>
      <c r="D43" s="6">
        <v>2980</v>
      </c>
      <c r="E43" s="6">
        <v>3014</v>
      </c>
      <c r="F43" s="6">
        <v>3037</v>
      </c>
      <c r="G43" s="6">
        <f t="shared" si="1"/>
        <v>58</v>
      </c>
      <c r="H43" s="6" t="s">
        <v>15</v>
      </c>
      <c r="I43" s="6" t="s">
        <v>101</v>
      </c>
      <c r="J43" s="6" t="s">
        <v>49</v>
      </c>
      <c r="K43" s="12">
        <v>1</v>
      </c>
      <c r="L43" s="6" t="s">
        <v>93</v>
      </c>
    </row>
    <row r="44" s="1" customFormat="1" spans="1:12">
      <c r="A44" s="11" t="s">
        <v>75</v>
      </c>
      <c r="B44" s="6" t="s">
        <v>102</v>
      </c>
      <c r="C44" s="6">
        <v>5</v>
      </c>
      <c r="D44" s="6">
        <v>1048</v>
      </c>
      <c r="E44" s="6">
        <v>1071</v>
      </c>
      <c r="F44" s="6">
        <v>1088</v>
      </c>
      <c r="G44" s="6">
        <f t="shared" si="1"/>
        <v>41</v>
      </c>
      <c r="H44" s="6" t="s">
        <v>15</v>
      </c>
      <c r="I44" s="6" t="s">
        <v>103</v>
      </c>
      <c r="J44" s="6" t="s">
        <v>104</v>
      </c>
      <c r="K44" s="6">
        <v>7</v>
      </c>
      <c r="L44" s="6"/>
    </row>
    <row r="45" s="1" customFormat="1" spans="1:12">
      <c r="A45" s="11" t="s">
        <v>75</v>
      </c>
      <c r="B45" s="6" t="s">
        <v>105</v>
      </c>
      <c r="C45" s="6">
        <v>6</v>
      </c>
      <c r="D45" s="6">
        <v>4422</v>
      </c>
      <c r="E45" s="6">
        <v>4463</v>
      </c>
      <c r="F45" s="6">
        <v>4486</v>
      </c>
      <c r="G45" s="6">
        <f t="shared" si="1"/>
        <v>65</v>
      </c>
      <c r="H45" s="6" t="s">
        <v>15</v>
      </c>
      <c r="I45" s="6" t="s">
        <v>106</v>
      </c>
      <c r="J45" s="6" t="s">
        <v>80</v>
      </c>
      <c r="K45" s="6">
        <v>4</v>
      </c>
      <c r="L45" s="6"/>
    </row>
    <row r="46" s="1" customFormat="1" spans="1:12">
      <c r="A46" s="11" t="s">
        <v>75</v>
      </c>
      <c r="B46" s="6" t="s">
        <v>107</v>
      </c>
      <c r="C46" s="6">
        <v>6</v>
      </c>
      <c r="D46" s="6">
        <v>4523</v>
      </c>
      <c r="E46" s="6">
        <v>4585</v>
      </c>
      <c r="F46" s="6">
        <v>4619</v>
      </c>
      <c r="G46" s="6">
        <f t="shared" si="1"/>
        <v>97</v>
      </c>
      <c r="H46" s="6" t="s">
        <v>15</v>
      </c>
      <c r="I46" s="6" t="s">
        <v>108</v>
      </c>
      <c r="J46" s="6" t="s">
        <v>49</v>
      </c>
      <c r="K46" s="6">
        <v>1</v>
      </c>
      <c r="L46" s="6"/>
    </row>
    <row r="47" s="1" customFormat="1" spans="1:12">
      <c r="A47" s="11" t="s">
        <v>75</v>
      </c>
      <c r="B47" s="6" t="s">
        <v>109</v>
      </c>
      <c r="C47" s="6">
        <v>6</v>
      </c>
      <c r="D47" s="6">
        <v>2504</v>
      </c>
      <c r="E47" s="6">
        <v>2571</v>
      </c>
      <c r="F47" s="6">
        <v>2602</v>
      </c>
      <c r="G47" s="6">
        <f t="shared" si="1"/>
        <v>99</v>
      </c>
      <c r="H47" s="6" t="s">
        <v>15</v>
      </c>
      <c r="I47" s="6" t="s">
        <v>110</v>
      </c>
      <c r="J47" s="6" t="s">
        <v>49</v>
      </c>
      <c r="K47" s="6">
        <v>1</v>
      </c>
      <c r="L47" s="6"/>
    </row>
    <row r="48" s="1" customFormat="1" spans="1:12">
      <c r="A48" s="11" t="s">
        <v>75</v>
      </c>
      <c r="B48" s="6" t="s">
        <v>111</v>
      </c>
      <c r="C48" s="6">
        <v>6</v>
      </c>
      <c r="D48" s="6">
        <v>2607</v>
      </c>
      <c r="E48" s="6">
        <v>2649</v>
      </c>
      <c r="F48" s="6">
        <v>2680</v>
      </c>
      <c r="G48" s="6">
        <f t="shared" si="1"/>
        <v>74</v>
      </c>
      <c r="H48" s="6" t="s">
        <v>15</v>
      </c>
      <c r="I48" s="6" t="s">
        <v>112</v>
      </c>
      <c r="J48" s="6" t="s">
        <v>49</v>
      </c>
      <c r="K48" s="6">
        <v>1</v>
      </c>
      <c r="L48" s="6"/>
    </row>
    <row r="49" s="1" customFormat="1" spans="1:12">
      <c r="A49" s="11" t="s">
        <v>75</v>
      </c>
      <c r="B49" s="6" t="s">
        <v>113</v>
      </c>
      <c r="C49" s="6">
        <v>7</v>
      </c>
      <c r="D49" s="6">
        <v>1220</v>
      </c>
      <c r="E49" s="6">
        <v>1236</v>
      </c>
      <c r="F49" s="6">
        <v>1269</v>
      </c>
      <c r="G49" s="6">
        <f t="shared" si="1"/>
        <v>50</v>
      </c>
      <c r="H49" s="6" t="s">
        <v>15</v>
      </c>
      <c r="I49" s="6" t="s">
        <v>114</v>
      </c>
      <c r="J49" s="6" t="s">
        <v>80</v>
      </c>
      <c r="K49" s="6">
        <v>4</v>
      </c>
      <c r="L49" s="6"/>
    </row>
    <row r="50" s="1" customFormat="1" spans="1:12">
      <c r="A50" s="11" t="s">
        <v>75</v>
      </c>
      <c r="B50" s="6" t="s">
        <v>115</v>
      </c>
      <c r="C50" s="6">
        <v>7</v>
      </c>
      <c r="D50" s="6">
        <v>3599</v>
      </c>
      <c r="E50" s="6">
        <v>3630</v>
      </c>
      <c r="F50" s="6">
        <v>3680</v>
      </c>
      <c r="G50" s="6">
        <f t="shared" si="1"/>
        <v>82</v>
      </c>
      <c r="H50" s="6" t="s">
        <v>15</v>
      </c>
      <c r="I50" s="6" t="s">
        <v>103</v>
      </c>
      <c r="J50" s="6" t="s">
        <v>104</v>
      </c>
      <c r="K50" s="6">
        <v>7</v>
      </c>
      <c r="L50" s="6" t="s">
        <v>93</v>
      </c>
    </row>
    <row r="51" s="1" customFormat="1" spans="1:12">
      <c r="A51" s="11" t="s">
        <v>116</v>
      </c>
      <c r="B51" s="6" t="s">
        <v>117</v>
      </c>
      <c r="C51" s="6">
        <v>3</v>
      </c>
      <c r="D51" s="6">
        <v>4621</v>
      </c>
      <c r="E51" s="6">
        <v>4651</v>
      </c>
      <c r="F51" s="6">
        <v>4676</v>
      </c>
      <c r="G51" s="6">
        <f t="shared" si="1"/>
        <v>56</v>
      </c>
      <c r="H51" s="6" t="s">
        <v>15</v>
      </c>
      <c r="I51" s="6" t="s">
        <v>118</v>
      </c>
      <c r="J51" s="6" t="s">
        <v>34</v>
      </c>
      <c r="K51" s="6">
        <v>6</v>
      </c>
      <c r="L51" s="6"/>
    </row>
    <row r="52" s="1" customFormat="1" spans="1:12">
      <c r="A52" s="11" t="s">
        <v>116</v>
      </c>
      <c r="B52" s="6" t="s">
        <v>119</v>
      </c>
      <c r="C52" s="6">
        <v>3</v>
      </c>
      <c r="D52" s="6">
        <v>4697</v>
      </c>
      <c r="E52" s="6">
        <v>4735</v>
      </c>
      <c r="F52" s="6">
        <v>4796</v>
      </c>
      <c r="G52" s="6">
        <f t="shared" si="1"/>
        <v>100</v>
      </c>
      <c r="H52" s="6" t="s">
        <v>15</v>
      </c>
      <c r="I52" s="6" t="s">
        <v>120</v>
      </c>
      <c r="J52" s="6" t="s">
        <v>34</v>
      </c>
      <c r="K52" s="6">
        <v>6</v>
      </c>
      <c r="L52" s="6" t="s">
        <v>121</v>
      </c>
    </row>
    <row r="53" s="1" customFormat="1" spans="1:12">
      <c r="A53" s="11" t="s">
        <v>116</v>
      </c>
      <c r="B53" s="6" t="s">
        <v>122</v>
      </c>
      <c r="C53" s="6">
        <v>7</v>
      </c>
      <c r="D53" s="6">
        <v>7871</v>
      </c>
      <c r="E53" s="6">
        <v>7889</v>
      </c>
      <c r="F53" s="6">
        <v>7923</v>
      </c>
      <c r="G53" s="6">
        <f t="shared" si="1"/>
        <v>53</v>
      </c>
      <c r="H53" s="6" t="s">
        <v>15</v>
      </c>
      <c r="I53" s="6">
        <v>5</v>
      </c>
      <c r="J53" s="6" t="s">
        <v>31</v>
      </c>
      <c r="K53" s="6">
        <v>2</v>
      </c>
      <c r="L53" s="6" t="s">
        <v>93</v>
      </c>
    </row>
    <row r="54" s="1" customFormat="1" spans="1:12">
      <c r="A54" s="11" t="s">
        <v>123</v>
      </c>
      <c r="B54" s="6" t="s">
        <v>124</v>
      </c>
      <c r="C54" s="6">
        <v>1</v>
      </c>
      <c r="D54" s="6">
        <v>3802</v>
      </c>
      <c r="E54" s="6">
        <v>3824</v>
      </c>
      <c r="F54" s="6">
        <v>3890</v>
      </c>
      <c r="G54" s="6">
        <f t="shared" si="1"/>
        <v>89</v>
      </c>
      <c r="H54" s="6" t="s">
        <v>15</v>
      </c>
      <c r="I54" s="6">
        <v>7</v>
      </c>
      <c r="J54" s="6" t="s">
        <v>17</v>
      </c>
      <c r="K54" s="6">
        <v>7</v>
      </c>
      <c r="L54" s="6"/>
    </row>
    <row r="55" s="1" customFormat="1" spans="1:12">
      <c r="A55" s="11" t="s">
        <v>123</v>
      </c>
      <c r="B55" s="6" t="s">
        <v>125</v>
      </c>
      <c r="C55" s="6">
        <v>1</v>
      </c>
      <c r="D55" s="6">
        <v>4490</v>
      </c>
      <c r="E55" s="6">
        <v>4544</v>
      </c>
      <c r="F55" s="6">
        <v>4582</v>
      </c>
      <c r="G55" s="6">
        <f t="shared" si="1"/>
        <v>93</v>
      </c>
      <c r="H55" s="6" t="s">
        <v>15</v>
      </c>
      <c r="I55" s="6" t="s">
        <v>126</v>
      </c>
      <c r="J55" s="6" t="s">
        <v>17</v>
      </c>
      <c r="K55" s="6">
        <v>7</v>
      </c>
      <c r="L55" s="6"/>
    </row>
    <row r="56" s="1" customFormat="1" spans="1:12">
      <c r="A56" s="11" t="s">
        <v>123</v>
      </c>
      <c r="B56" s="6" t="s">
        <v>127</v>
      </c>
      <c r="C56" s="6">
        <v>1</v>
      </c>
      <c r="D56" s="6">
        <v>706</v>
      </c>
      <c r="E56" s="6">
        <v>739</v>
      </c>
      <c r="F56" s="6">
        <v>802</v>
      </c>
      <c r="G56" s="6">
        <f t="shared" si="1"/>
        <v>97</v>
      </c>
      <c r="H56" s="6" t="s">
        <v>15</v>
      </c>
      <c r="I56" s="6" t="s">
        <v>62</v>
      </c>
      <c r="J56" s="6" t="s">
        <v>17</v>
      </c>
      <c r="K56" s="6">
        <v>7</v>
      </c>
      <c r="L56" s="6"/>
    </row>
    <row r="57" s="1" customFormat="1" spans="1:12">
      <c r="A57" s="11" t="s">
        <v>123</v>
      </c>
      <c r="B57" s="6" t="s">
        <v>128</v>
      </c>
      <c r="C57" s="6">
        <v>1</v>
      </c>
      <c r="D57" s="6">
        <v>841</v>
      </c>
      <c r="E57" s="6">
        <v>867</v>
      </c>
      <c r="F57" s="6">
        <v>919</v>
      </c>
      <c r="G57" s="6">
        <f t="shared" si="1"/>
        <v>79</v>
      </c>
      <c r="H57" s="6" t="s">
        <v>15</v>
      </c>
      <c r="I57" s="6" t="s">
        <v>126</v>
      </c>
      <c r="J57" s="6" t="s">
        <v>17</v>
      </c>
      <c r="K57" s="6">
        <v>7</v>
      </c>
      <c r="L57" s="6"/>
    </row>
    <row r="58" s="1" customFormat="1" spans="1:12">
      <c r="A58" s="11" t="s">
        <v>123</v>
      </c>
      <c r="B58" s="6" t="s">
        <v>129</v>
      </c>
      <c r="C58" s="6">
        <v>1</v>
      </c>
      <c r="D58" s="6">
        <v>5658</v>
      </c>
      <c r="E58" s="6">
        <v>5680</v>
      </c>
      <c r="F58" s="6">
        <v>5739</v>
      </c>
      <c r="G58" s="6">
        <f t="shared" si="1"/>
        <v>82</v>
      </c>
      <c r="H58" s="6" t="s">
        <v>15</v>
      </c>
      <c r="I58" s="6">
        <v>7</v>
      </c>
      <c r="J58" s="6" t="s">
        <v>17</v>
      </c>
      <c r="K58" s="6">
        <v>7</v>
      </c>
      <c r="L58" s="6"/>
    </row>
    <row r="59" s="1" customFormat="1" spans="1:12">
      <c r="A59" s="11" t="s">
        <v>123</v>
      </c>
      <c r="B59" s="6" t="s">
        <v>130</v>
      </c>
      <c r="C59" s="6">
        <v>7</v>
      </c>
      <c r="D59" s="6">
        <v>2077</v>
      </c>
      <c r="E59" s="6">
        <v>2135</v>
      </c>
      <c r="F59" s="6">
        <v>2167</v>
      </c>
      <c r="G59" s="6">
        <f t="shared" si="1"/>
        <v>91</v>
      </c>
      <c r="H59" s="6" t="s">
        <v>15</v>
      </c>
      <c r="I59" s="6" t="s">
        <v>62</v>
      </c>
      <c r="J59" s="6" t="s">
        <v>17</v>
      </c>
      <c r="K59" s="6">
        <v>7</v>
      </c>
      <c r="L59" s="6" t="s">
        <v>93</v>
      </c>
    </row>
    <row r="60" s="1" customFormat="1" spans="1:12">
      <c r="A60" s="11" t="s">
        <v>131</v>
      </c>
      <c r="B60" s="6" t="s">
        <v>132</v>
      </c>
      <c r="C60" s="6">
        <v>1</v>
      </c>
      <c r="D60" s="6">
        <v>2856</v>
      </c>
      <c r="E60" s="6">
        <v>2881</v>
      </c>
      <c r="F60" s="6">
        <v>2897</v>
      </c>
      <c r="G60" s="6">
        <f t="shared" si="1"/>
        <v>42</v>
      </c>
      <c r="H60" s="6" t="s">
        <v>15</v>
      </c>
      <c r="I60" s="6">
        <v>20</v>
      </c>
      <c r="J60" s="6" t="s">
        <v>34</v>
      </c>
      <c r="K60" s="6">
        <v>6</v>
      </c>
      <c r="L60" s="6"/>
    </row>
    <row r="61" s="1" customFormat="1" spans="1:12">
      <c r="A61" s="11" t="s">
        <v>131</v>
      </c>
      <c r="B61" s="6" t="s">
        <v>133</v>
      </c>
      <c r="C61" s="6">
        <v>1</v>
      </c>
      <c r="D61" s="6">
        <v>1166</v>
      </c>
      <c r="E61" s="6">
        <v>1213</v>
      </c>
      <c r="F61" s="6">
        <v>1252</v>
      </c>
      <c r="G61" s="6">
        <f t="shared" si="1"/>
        <v>87</v>
      </c>
      <c r="H61" s="6" t="s">
        <v>15</v>
      </c>
      <c r="I61" s="6">
        <v>24</v>
      </c>
      <c r="J61" s="6" t="s">
        <v>42</v>
      </c>
      <c r="K61" s="6">
        <v>7</v>
      </c>
      <c r="L61" s="6"/>
    </row>
    <row r="62" s="1" customFormat="1" spans="1:12">
      <c r="A62" s="11" t="s">
        <v>131</v>
      </c>
      <c r="B62" s="6" t="s">
        <v>134</v>
      </c>
      <c r="C62" s="6">
        <v>2</v>
      </c>
      <c r="D62" s="6">
        <v>4616</v>
      </c>
      <c r="E62" s="6">
        <v>4645</v>
      </c>
      <c r="F62" s="6">
        <v>4705</v>
      </c>
      <c r="G62" s="6">
        <f t="shared" si="1"/>
        <v>90</v>
      </c>
      <c r="H62" s="6" t="s">
        <v>15</v>
      </c>
      <c r="I62" s="6" t="s">
        <v>135</v>
      </c>
      <c r="J62" s="6" t="s">
        <v>31</v>
      </c>
      <c r="K62" s="6">
        <v>2</v>
      </c>
      <c r="L62" s="6" t="s">
        <v>93</v>
      </c>
    </row>
    <row r="63" s="1" customFormat="1" spans="1:12">
      <c r="A63" s="11" t="s">
        <v>131</v>
      </c>
      <c r="B63" s="6" t="s">
        <v>136</v>
      </c>
      <c r="C63" s="6">
        <v>2</v>
      </c>
      <c r="D63" s="6">
        <v>3874</v>
      </c>
      <c r="E63" s="6">
        <v>3925</v>
      </c>
      <c r="F63" s="6">
        <v>3968</v>
      </c>
      <c r="G63" s="6">
        <f t="shared" si="1"/>
        <v>95</v>
      </c>
      <c r="H63" s="6" t="s">
        <v>15</v>
      </c>
      <c r="I63" s="6" t="s">
        <v>137</v>
      </c>
      <c r="J63" s="6" t="s">
        <v>49</v>
      </c>
      <c r="K63" s="6">
        <v>1</v>
      </c>
      <c r="L63" s="6" t="s">
        <v>138</v>
      </c>
    </row>
    <row r="64" s="1" customFormat="1" spans="1:12">
      <c r="A64" s="11" t="s">
        <v>131</v>
      </c>
      <c r="B64" s="6" t="s">
        <v>139</v>
      </c>
      <c r="C64" s="6">
        <v>3</v>
      </c>
      <c r="D64" s="6">
        <v>2635</v>
      </c>
      <c r="E64" s="6">
        <v>2646</v>
      </c>
      <c r="F64" s="6">
        <v>2714</v>
      </c>
      <c r="G64" s="6">
        <f t="shared" si="1"/>
        <v>80</v>
      </c>
      <c r="H64" s="6" t="s">
        <v>15</v>
      </c>
      <c r="I64" s="6" t="s">
        <v>140</v>
      </c>
      <c r="J64" s="6" t="s">
        <v>49</v>
      </c>
      <c r="K64" s="6">
        <v>1</v>
      </c>
      <c r="L64" s="6" t="s">
        <v>138</v>
      </c>
    </row>
    <row r="65" s="1" customFormat="1" spans="1:12">
      <c r="A65" s="11" t="s">
        <v>131</v>
      </c>
      <c r="B65" s="6" t="s">
        <v>141</v>
      </c>
      <c r="C65" s="6">
        <v>3</v>
      </c>
      <c r="D65" s="6">
        <v>1426</v>
      </c>
      <c r="E65" s="6">
        <v>1457</v>
      </c>
      <c r="F65" s="6">
        <v>1523</v>
      </c>
      <c r="G65" s="6">
        <f t="shared" si="1"/>
        <v>98</v>
      </c>
      <c r="H65" s="6" t="s">
        <v>15</v>
      </c>
      <c r="I65" s="6" t="s">
        <v>142</v>
      </c>
      <c r="J65" s="6" t="s">
        <v>49</v>
      </c>
      <c r="K65" s="6">
        <v>1</v>
      </c>
      <c r="L65" s="6" t="s">
        <v>143</v>
      </c>
    </row>
    <row r="66" s="1" customFormat="1" spans="1:12">
      <c r="A66" s="11" t="s">
        <v>131</v>
      </c>
      <c r="B66" s="6" t="s">
        <v>144</v>
      </c>
      <c r="C66" s="6">
        <v>5</v>
      </c>
      <c r="D66" s="6">
        <v>469</v>
      </c>
      <c r="E66" s="6">
        <v>498</v>
      </c>
      <c r="F66" s="6">
        <v>557</v>
      </c>
      <c r="G66" s="6">
        <f t="shared" ref="G66:G97" si="2">SUM(F66-D66)+1</f>
        <v>89</v>
      </c>
      <c r="H66" s="6" t="s">
        <v>15</v>
      </c>
      <c r="I66" s="6" t="s">
        <v>145</v>
      </c>
      <c r="J66" s="6" t="s">
        <v>104</v>
      </c>
      <c r="K66" s="12">
        <v>7</v>
      </c>
      <c r="L66" s="6"/>
    </row>
    <row r="67" s="1" customFormat="1" spans="1:12">
      <c r="A67" s="11" t="s">
        <v>131</v>
      </c>
      <c r="B67" s="6" t="s">
        <v>146</v>
      </c>
      <c r="C67" s="6">
        <v>6</v>
      </c>
      <c r="D67" s="6">
        <v>1316</v>
      </c>
      <c r="E67" s="6">
        <v>1334</v>
      </c>
      <c r="F67" s="6">
        <v>1350</v>
      </c>
      <c r="G67" s="6">
        <f t="shared" si="2"/>
        <v>35</v>
      </c>
      <c r="H67" s="6" t="s">
        <v>15</v>
      </c>
      <c r="I67" s="6" t="s">
        <v>147</v>
      </c>
      <c r="J67" s="6" t="s">
        <v>49</v>
      </c>
      <c r="K67" s="6">
        <v>1</v>
      </c>
      <c r="L67" s="6" t="s">
        <v>93</v>
      </c>
    </row>
    <row r="68" s="1" customFormat="1" spans="1:12">
      <c r="A68" s="11" t="s">
        <v>131</v>
      </c>
      <c r="B68" s="6" t="s">
        <v>148</v>
      </c>
      <c r="C68" s="6">
        <v>6</v>
      </c>
      <c r="D68" s="6">
        <v>1190</v>
      </c>
      <c r="E68" s="6">
        <v>1221</v>
      </c>
      <c r="F68" s="6">
        <v>1253</v>
      </c>
      <c r="G68" s="6">
        <f t="shared" si="2"/>
        <v>64</v>
      </c>
      <c r="H68" s="6" t="s">
        <v>15</v>
      </c>
      <c r="I68" s="6" t="s">
        <v>58</v>
      </c>
      <c r="J68" s="6" t="s">
        <v>49</v>
      </c>
      <c r="K68" s="6">
        <v>1</v>
      </c>
      <c r="L68" s="6" t="s">
        <v>149</v>
      </c>
    </row>
    <row r="69" s="1" customFormat="1" spans="1:12">
      <c r="A69" s="11" t="s">
        <v>131</v>
      </c>
      <c r="B69" s="6" t="s">
        <v>150</v>
      </c>
      <c r="C69" s="6">
        <v>6</v>
      </c>
      <c r="D69" s="6">
        <v>128</v>
      </c>
      <c r="E69" s="6">
        <v>171</v>
      </c>
      <c r="F69" s="6">
        <v>196</v>
      </c>
      <c r="G69" s="6">
        <f t="shared" si="2"/>
        <v>69</v>
      </c>
      <c r="H69" s="6" t="s">
        <v>15</v>
      </c>
      <c r="I69" s="6" t="s">
        <v>151</v>
      </c>
      <c r="J69" s="6" t="s">
        <v>49</v>
      </c>
      <c r="K69" s="6">
        <v>1</v>
      </c>
      <c r="L69" s="6"/>
    </row>
    <row r="70" s="1" customFormat="1" spans="1:12">
      <c r="A70" s="11" t="s">
        <v>131</v>
      </c>
      <c r="B70" s="6" t="s">
        <v>152</v>
      </c>
      <c r="C70" s="6">
        <v>7</v>
      </c>
      <c r="D70" s="6">
        <v>3529</v>
      </c>
      <c r="E70" s="6">
        <v>3560</v>
      </c>
      <c r="F70" s="6">
        <v>3598</v>
      </c>
      <c r="G70" s="6">
        <f t="shared" si="2"/>
        <v>70</v>
      </c>
      <c r="H70" s="6" t="s">
        <v>15</v>
      </c>
      <c r="I70" s="6" t="s">
        <v>147</v>
      </c>
      <c r="J70" s="6" t="s">
        <v>49</v>
      </c>
      <c r="K70" s="6">
        <v>1</v>
      </c>
      <c r="L70" s="6"/>
    </row>
    <row r="71" s="1" customFormat="1" spans="1:12">
      <c r="A71" s="11" t="s">
        <v>153</v>
      </c>
      <c r="B71" s="6" t="s">
        <v>154</v>
      </c>
      <c r="C71" s="6">
        <v>5</v>
      </c>
      <c r="D71" s="6">
        <v>6380</v>
      </c>
      <c r="E71" s="6">
        <v>6406</v>
      </c>
      <c r="F71" s="6">
        <v>6442</v>
      </c>
      <c r="G71" s="6">
        <f t="shared" si="2"/>
        <v>63</v>
      </c>
      <c r="H71" s="6" t="s">
        <v>15</v>
      </c>
      <c r="I71" s="6" t="s">
        <v>155</v>
      </c>
      <c r="J71" s="6" t="s">
        <v>28</v>
      </c>
      <c r="K71" s="6">
        <v>5</v>
      </c>
      <c r="L71" s="6" t="s">
        <v>156</v>
      </c>
    </row>
    <row r="72" s="1" customFormat="1" spans="1:12">
      <c r="A72" s="11" t="s">
        <v>153</v>
      </c>
      <c r="B72" s="6" t="s">
        <v>157</v>
      </c>
      <c r="C72" s="6">
        <v>5</v>
      </c>
      <c r="D72" s="6">
        <v>6587</v>
      </c>
      <c r="E72" s="6">
        <v>6615</v>
      </c>
      <c r="F72" s="6">
        <v>6659</v>
      </c>
      <c r="G72" s="6">
        <f t="shared" si="2"/>
        <v>73</v>
      </c>
      <c r="H72" s="6" t="s">
        <v>15</v>
      </c>
      <c r="I72" s="6" t="s">
        <v>103</v>
      </c>
      <c r="J72" s="6" t="s">
        <v>104</v>
      </c>
      <c r="K72" s="6">
        <v>7</v>
      </c>
      <c r="L72" s="6"/>
    </row>
    <row r="73" s="1" customFormat="1" spans="1:12">
      <c r="A73" s="11" t="s">
        <v>153</v>
      </c>
      <c r="B73" s="6" t="s">
        <v>158</v>
      </c>
      <c r="C73" s="6">
        <v>5</v>
      </c>
      <c r="D73" s="6">
        <v>6050</v>
      </c>
      <c r="E73" s="6">
        <v>6073</v>
      </c>
      <c r="F73" s="6">
        <v>6127</v>
      </c>
      <c r="G73" s="6">
        <f t="shared" si="2"/>
        <v>78</v>
      </c>
      <c r="H73" s="6" t="s">
        <v>15</v>
      </c>
      <c r="I73" s="6" t="s">
        <v>159</v>
      </c>
      <c r="J73" s="6" t="s">
        <v>31</v>
      </c>
      <c r="K73" s="6">
        <v>2</v>
      </c>
      <c r="L73" s="6" t="s">
        <v>156</v>
      </c>
    </row>
    <row r="74" s="1" customFormat="1" spans="1:12">
      <c r="A74" s="11" t="s">
        <v>160</v>
      </c>
      <c r="B74" s="6" t="s">
        <v>161</v>
      </c>
      <c r="C74" s="6">
        <v>7</v>
      </c>
      <c r="D74" s="6">
        <v>2275</v>
      </c>
      <c r="E74" s="6">
        <v>2299</v>
      </c>
      <c r="F74" s="6">
        <v>2323</v>
      </c>
      <c r="G74" s="6">
        <f t="shared" si="2"/>
        <v>49</v>
      </c>
      <c r="H74" s="6" t="s">
        <v>15</v>
      </c>
      <c r="I74" s="6" t="s">
        <v>162</v>
      </c>
      <c r="J74" s="6" t="s">
        <v>17</v>
      </c>
      <c r="K74" s="6">
        <v>7</v>
      </c>
      <c r="L74" s="6" t="s">
        <v>138</v>
      </c>
    </row>
    <row r="75" s="1" customFormat="1" spans="1:12">
      <c r="A75" s="11" t="s">
        <v>160</v>
      </c>
      <c r="B75" s="6" t="s">
        <v>163</v>
      </c>
      <c r="C75" s="6">
        <v>7</v>
      </c>
      <c r="D75" s="6">
        <v>3840</v>
      </c>
      <c r="E75" s="6">
        <v>3854</v>
      </c>
      <c r="F75" s="6">
        <v>3892</v>
      </c>
      <c r="G75" s="6">
        <f t="shared" si="2"/>
        <v>53</v>
      </c>
      <c r="H75" s="6" t="s">
        <v>15</v>
      </c>
      <c r="I75" s="6" t="s">
        <v>159</v>
      </c>
      <c r="J75" s="6" t="s">
        <v>31</v>
      </c>
      <c r="K75" s="6">
        <v>2</v>
      </c>
      <c r="L75" s="6" t="s">
        <v>138</v>
      </c>
    </row>
    <row r="76" s="1" customFormat="1" spans="1:12">
      <c r="A76" s="11" t="s">
        <v>160</v>
      </c>
      <c r="B76" s="6" t="s">
        <v>164</v>
      </c>
      <c r="C76" s="6">
        <v>7</v>
      </c>
      <c r="D76" s="6">
        <v>4395</v>
      </c>
      <c r="E76" s="6">
        <v>4421</v>
      </c>
      <c r="F76" s="6">
        <v>4447</v>
      </c>
      <c r="G76" s="6">
        <f t="shared" si="2"/>
        <v>53</v>
      </c>
      <c r="H76" s="6" t="s">
        <v>15</v>
      </c>
      <c r="I76" s="6">
        <v>4</v>
      </c>
      <c r="J76" s="6" t="s">
        <v>17</v>
      </c>
      <c r="K76" s="6">
        <v>3</v>
      </c>
      <c r="L76" s="6" t="s">
        <v>93</v>
      </c>
    </row>
    <row r="77" s="1" customFormat="1" spans="1:12">
      <c r="A77" s="11" t="s">
        <v>160</v>
      </c>
      <c r="B77" s="6" t="s">
        <v>165</v>
      </c>
      <c r="C77" s="6">
        <v>7</v>
      </c>
      <c r="D77" s="6">
        <v>6120</v>
      </c>
      <c r="E77" s="6">
        <v>6155</v>
      </c>
      <c r="F77" s="6">
        <v>6207</v>
      </c>
      <c r="G77" s="6">
        <f t="shared" si="2"/>
        <v>88</v>
      </c>
      <c r="H77" s="6" t="s">
        <v>15</v>
      </c>
      <c r="I77" s="6" t="s">
        <v>135</v>
      </c>
      <c r="J77" s="6" t="s">
        <v>31</v>
      </c>
      <c r="K77" s="6">
        <v>2</v>
      </c>
      <c r="L77" s="6" t="s">
        <v>166</v>
      </c>
    </row>
    <row r="78" s="1" customFormat="1" spans="1:12">
      <c r="A78" s="11" t="s">
        <v>160</v>
      </c>
      <c r="B78" s="6" t="s">
        <v>167</v>
      </c>
      <c r="C78" s="6">
        <v>7</v>
      </c>
      <c r="D78" s="6">
        <v>12256</v>
      </c>
      <c r="E78" s="6">
        <v>12324</v>
      </c>
      <c r="F78" s="6">
        <v>12349</v>
      </c>
      <c r="G78" s="6">
        <f t="shared" si="2"/>
        <v>94</v>
      </c>
      <c r="H78" s="6" t="s">
        <v>15</v>
      </c>
      <c r="I78" s="6">
        <v>12</v>
      </c>
      <c r="J78" s="6" t="s">
        <v>49</v>
      </c>
      <c r="K78" s="6">
        <v>1</v>
      </c>
      <c r="L78" s="6" t="s">
        <v>168</v>
      </c>
    </row>
    <row r="79" s="1" customFormat="1" spans="1:12">
      <c r="A79" s="11" t="s">
        <v>169</v>
      </c>
      <c r="B79" s="6" t="s">
        <v>170</v>
      </c>
      <c r="C79" s="6">
        <v>3</v>
      </c>
      <c r="D79" s="6">
        <v>312</v>
      </c>
      <c r="E79" s="6">
        <v>337</v>
      </c>
      <c r="F79" s="6">
        <v>387</v>
      </c>
      <c r="G79" s="6">
        <f t="shared" si="2"/>
        <v>76</v>
      </c>
      <c r="H79" s="6" t="s">
        <v>15</v>
      </c>
      <c r="I79" s="6" t="s">
        <v>171</v>
      </c>
      <c r="J79" s="6" t="s">
        <v>104</v>
      </c>
      <c r="K79" s="6">
        <v>7</v>
      </c>
      <c r="L79" s="6" t="s">
        <v>93</v>
      </c>
    </row>
    <row r="80" s="1" customFormat="1" spans="1:12">
      <c r="A80" s="11" t="s">
        <v>169</v>
      </c>
      <c r="B80" s="6" t="s">
        <v>172</v>
      </c>
      <c r="C80" s="6">
        <v>3</v>
      </c>
      <c r="D80" s="6">
        <v>83</v>
      </c>
      <c r="E80" s="6">
        <v>116</v>
      </c>
      <c r="F80" s="6">
        <v>165</v>
      </c>
      <c r="G80" s="6">
        <f t="shared" si="2"/>
        <v>83</v>
      </c>
      <c r="H80" s="6" t="s">
        <v>15</v>
      </c>
      <c r="I80" s="6" t="s">
        <v>173</v>
      </c>
      <c r="J80" s="6" t="s">
        <v>31</v>
      </c>
      <c r="K80" s="12">
        <v>7</v>
      </c>
      <c r="L80" s="6" t="s">
        <v>93</v>
      </c>
    </row>
    <row r="81" s="1" customFormat="1" spans="1:12">
      <c r="A81" s="11" t="s">
        <v>169</v>
      </c>
      <c r="B81" s="6" t="s">
        <v>174</v>
      </c>
      <c r="C81" s="6">
        <v>3</v>
      </c>
      <c r="D81" s="6">
        <v>1393</v>
      </c>
      <c r="E81" s="6">
        <v>1489</v>
      </c>
      <c r="F81" s="6">
        <v>1492</v>
      </c>
      <c r="G81" s="6">
        <f t="shared" si="2"/>
        <v>100</v>
      </c>
      <c r="H81" s="6" t="s">
        <v>15</v>
      </c>
      <c r="I81" s="6" t="s">
        <v>46</v>
      </c>
      <c r="J81" s="6" t="s">
        <v>42</v>
      </c>
      <c r="K81" s="6">
        <v>7</v>
      </c>
      <c r="L81" s="6"/>
    </row>
    <row r="82" s="1" customFormat="1" spans="1:12">
      <c r="A82" s="11" t="s">
        <v>169</v>
      </c>
      <c r="B82" s="6" t="s">
        <v>175</v>
      </c>
      <c r="C82" s="6">
        <v>3</v>
      </c>
      <c r="D82" s="6">
        <v>174</v>
      </c>
      <c r="E82" s="6">
        <v>199</v>
      </c>
      <c r="F82" s="6">
        <v>264</v>
      </c>
      <c r="G82" s="6">
        <f t="shared" si="2"/>
        <v>91</v>
      </c>
      <c r="H82" s="6" t="s">
        <v>15</v>
      </c>
      <c r="I82" s="6" t="s">
        <v>176</v>
      </c>
      <c r="J82" s="6" t="s">
        <v>104</v>
      </c>
      <c r="K82" s="6">
        <v>7</v>
      </c>
      <c r="L82" s="6" t="s">
        <v>93</v>
      </c>
    </row>
    <row r="83" s="1" customFormat="1" spans="1:12">
      <c r="A83" s="11" t="s">
        <v>169</v>
      </c>
      <c r="B83" s="6" t="s">
        <v>177</v>
      </c>
      <c r="C83" s="6">
        <v>6</v>
      </c>
      <c r="D83" s="6">
        <v>1107</v>
      </c>
      <c r="E83" s="6">
        <v>1143</v>
      </c>
      <c r="F83" s="6">
        <v>1178</v>
      </c>
      <c r="G83" s="6">
        <f t="shared" si="2"/>
        <v>72</v>
      </c>
      <c r="H83" s="6" t="s">
        <v>15</v>
      </c>
      <c r="I83" s="6">
        <v>7</v>
      </c>
      <c r="J83" s="6" t="s">
        <v>17</v>
      </c>
      <c r="K83" s="6">
        <v>7</v>
      </c>
      <c r="L83" s="6" t="s">
        <v>93</v>
      </c>
    </row>
    <row r="84" s="1" customFormat="1" spans="1:12">
      <c r="A84" s="11" t="s">
        <v>169</v>
      </c>
      <c r="B84" s="6" t="s">
        <v>178</v>
      </c>
      <c r="C84" s="6">
        <v>6</v>
      </c>
      <c r="D84" s="6">
        <v>916</v>
      </c>
      <c r="E84" s="6">
        <v>960</v>
      </c>
      <c r="F84" s="6">
        <v>1008</v>
      </c>
      <c r="G84" s="6">
        <f t="shared" si="2"/>
        <v>93</v>
      </c>
      <c r="H84" s="6" t="s">
        <v>15</v>
      </c>
      <c r="I84" s="6" t="s">
        <v>179</v>
      </c>
      <c r="J84" s="6" t="s">
        <v>42</v>
      </c>
      <c r="K84" s="6">
        <v>7</v>
      </c>
      <c r="L84" s="6"/>
    </row>
    <row r="85" s="1" customFormat="1" spans="1:12">
      <c r="A85" s="11" t="s">
        <v>180</v>
      </c>
      <c r="B85" s="6" t="s">
        <v>181</v>
      </c>
      <c r="C85" s="6">
        <v>1</v>
      </c>
      <c r="D85" s="6">
        <v>10521</v>
      </c>
      <c r="E85" s="6">
        <v>10570</v>
      </c>
      <c r="F85" s="6">
        <v>10607</v>
      </c>
      <c r="G85" s="6">
        <f t="shared" si="2"/>
        <v>87</v>
      </c>
      <c r="H85" s="6" t="s">
        <v>15</v>
      </c>
      <c r="I85" s="6" t="s">
        <v>182</v>
      </c>
      <c r="J85" s="6" t="s">
        <v>42</v>
      </c>
      <c r="K85" s="6">
        <v>7</v>
      </c>
      <c r="L85" s="6"/>
    </row>
    <row r="86" s="1" customFormat="1" spans="1:12">
      <c r="A86" s="11" t="s">
        <v>180</v>
      </c>
      <c r="B86" s="6" t="s">
        <v>183</v>
      </c>
      <c r="C86" s="6">
        <v>3</v>
      </c>
      <c r="D86" s="6">
        <v>1405</v>
      </c>
      <c r="E86" s="6">
        <v>1456</v>
      </c>
      <c r="F86" s="6">
        <v>1500</v>
      </c>
      <c r="G86" s="6">
        <f t="shared" si="2"/>
        <v>96</v>
      </c>
      <c r="H86" s="6" t="s">
        <v>15</v>
      </c>
      <c r="I86" s="6" t="s">
        <v>184</v>
      </c>
      <c r="J86" s="6" t="s">
        <v>80</v>
      </c>
      <c r="K86" s="6">
        <v>4</v>
      </c>
      <c r="L86" s="6"/>
    </row>
    <row r="87" s="1" customFormat="1" spans="1:12">
      <c r="A87" s="11" t="s">
        <v>180</v>
      </c>
      <c r="B87" s="6" t="s">
        <v>185</v>
      </c>
      <c r="C87" s="6">
        <v>5</v>
      </c>
      <c r="D87" s="6">
        <v>6991</v>
      </c>
      <c r="E87" s="6">
        <v>7026</v>
      </c>
      <c r="F87" s="6">
        <v>7060</v>
      </c>
      <c r="G87" s="6">
        <f t="shared" si="2"/>
        <v>70</v>
      </c>
      <c r="H87" s="6" t="s">
        <v>15</v>
      </c>
      <c r="I87" s="6">
        <v>17</v>
      </c>
      <c r="J87" s="6" t="s">
        <v>28</v>
      </c>
      <c r="K87" s="6">
        <v>7</v>
      </c>
      <c r="L87" s="6"/>
    </row>
    <row r="88" s="1" customFormat="1" spans="1:12">
      <c r="A88" s="11" t="s">
        <v>180</v>
      </c>
      <c r="B88" s="6" t="s">
        <v>186</v>
      </c>
      <c r="C88" s="6">
        <v>7</v>
      </c>
      <c r="D88" s="6">
        <v>10133</v>
      </c>
      <c r="E88" s="6">
        <v>10156</v>
      </c>
      <c r="F88" s="6">
        <v>10175</v>
      </c>
      <c r="G88" s="6">
        <f t="shared" si="2"/>
        <v>43</v>
      </c>
      <c r="H88" s="6" t="s">
        <v>15</v>
      </c>
      <c r="I88" s="6">
        <v>5</v>
      </c>
      <c r="J88" s="6" t="s">
        <v>31</v>
      </c>
      <c r="K88" s="6">
        <v>2</v>
      </c>
      <c r="L88" s="6" t="s">
        <v>156</v>
      </c>
    </row>
    <row r="89" s="1" customFormat="1" spans="1:12">
      <c r="A89" s="11" t="s">
        <v>187</v>
      </c>
      <c r="B89" s="6" t="s">
        <v>188</v>
      </c>
      <c r="C89" s="6">
        <v>3</v>
      </c>
      <c r="D89" s="6">
        <v>872</v>
      </c>
      <c r="E89" s="6">
        <v>908</v>
      </c>
      <c r="F89" s="6">
        <v>971</v>
      </c>
      <c r="G89" s="6">
        <f t="shared" si="2"/>
        <v>100</v>
      </c>
      <c r="H89" s="6" t="s">
        <v>15</v>
      </c>
      <c r="I89" s="6" t="s">
        <v>189</v>
      </c>
      <c r="J89" s="6" t="s">
        <v>42</v>
      </c>
      <c r="K89" s="6">
        <v>7</v>
      </c>
      <c r="L89" s="6"/>
    </row>
    <row r="90" s="1" customFormat="1" spans="1:12">
      <c r="A90" s="11" t="s">
        <v>187</v>
      </c>
      <c r="B90" s="6" t="s">
        <v>190</v>
      </c>
      <c r="C90" s="6">
        <v>4</v>
      </c>
      <c r="D90" s="6">
        <v>4496</v>
      </c>
      <c r="E90" s="6">
        <v>4517</v>
      </c>
      <c r="F90" s="6">
        <v>4550</v>
      </c>
      <c r="G90" s="6">
        <f t="shared" si="2"/>
        <v>55</v>
      </c>
      <c r="H90" s="6" t="s">
        <v>15</v>
      </c>
      <c r="I90" s="6" t="s">
        <v>137</v>
      </c>
      <c r="J90" s="6" t="s">
        <v>49</v>
      </c>
      <c r="K90" s="6">
        <v>1</v>
      </c>
      <c r="L90" s="6"/>
    </row>
    <row r="91" s="1" customFormat="1" spans="1:12">
      <c r="A91" s="11" t="s">
        <v>187</v>
      </c>
      <c r="B91" s="6" t="s">
        <v>191</v>
      </c>
      <c r="C91" s="6">
        <v>5</v>
      </c>
      <c r="D91" s="6">
        <v>5227</v>
      </c>
      <c r="E91" s="6">
        <v>5268</v>
      </c>
      <c r="F91" s="6">
        <v>5308</v>
      </c>
      <c r="G91" s="6">
        <f t="shared" si="2"/>
        <v>82</v>
      </c>
      <c r="H91" s="6" t="s">
        <v>15</v>
      </c>
      <c r="I91" s="6" t="s">
        <v>192</v>
      </c>
      <c r="J91" s="6" t="s">
        <v>42</v>
      </c>
      <c r="K91" s="6">
        <v>7</v>
      </c>
      <c r="L91" s="6" t="s">
        <v>138</v>
      </c>
    </row>
    <row r="92" s="1" customFormat="1" spans="1:12">
      <c r="A92" s="11" t="s">
        <v>193</v>
      </c>
      <c r="B92" s="6" t="s">
        <v>194</v>
      </c>
      <c r="C92" s="6">
        <v>1</v>
      </c>
      <c r="D92" s="6">
        <v>2804</v>
      </c>
      <c r="E92" s="6">
        <v>2823</v>
      </c>
      <c r="F92" s="6">
        <v>2837</v>
      </c>
      <c r="G92" s="6">
        <f t="shared" si="2"/>
        <v>34</v>
      </c>
      <c r="H92" s="6" t="s">
        <v>15</v>
      </c>
      <c r="I92" s="6" t="s">
        <v>192</v>
      </c>
      <c r="J92" s="6" t="s">
        <v>42</v>
      </c>
      <c r="K92" s="6">
        <v>7</v>
      </c>
      <c r="L92" s="6"/>
    </row>
    <row r="93" s="1" customFormat="1" spans="1:12">
      <c r="A93" s="11" t="s">
        <v>193</v>
      </c>
      <c r="B93" s="6" t="s">
        <v>195</v>
      </c>
      <c r="C93" s="6">
        <v>1</v>
      </c>
      <c r="D93" s="6">
        <v>2728</v>
      </c>
      <c r="E93" s="6">
        <v>2746</v>
      </c>
      <c r="F93" s="6">
        <v>2783</v>
      </c>
      <c r="G93" s="6">
        <f t="shared" si="2"/>
        <v>56</v>
      </c>
      <c r="H93" s="6" t="s">
        <v>15</v>
      </c>
      <c r="I93" s="6" t="s">
        <v>192</v>
      </c>
      <c r="J93" s="6" t="s">
        <v>42</v>
      </c>
      <c r="K93" s="6">
        <v>7</v>
      </c>
      <c r="L93" s="6"/>
    </row>
    <row r="94" s="1" customFormat="1" spans="1:12">
      <c r="A94" s="11" t="s">
        <v>193</v>
      </c>
      <c r="B94" s="6" t="s">
        <v>196</v>
      </c>
      <c r="C94" s="6">
        <v>1</v>
      </c>
      <c r="D94" s="6">
        <v>7251</v>
      </c>
      <c r="E94" s="6">
        <v>7275</v>
      </c>
      <c r="F94" s="6">
        <v>7325</v>
      </c>
      <c r="G94" s="6">
        <f t="shared" si="2"/>
        <v>75</v>
      </c>
      <c r="H94" s="6" t="s">
        <v>15</v>
      </c>
      <c r="I94" s="6" t="s">
        <v>197</v>
      </c>
      <c r="J94" s="6" t="s">
        <v>42</v>
      </c>
      <c r="K94" s="6">
        <v>7</v>
      </c>
      <c r="L94" s="6"/>
    </row>
    <row r="95" s="1" customFormat="1" spans="1:12">
      <c r="A95" s="11" t="s">
        <v>193</v>
      </c>
      <c r="B95" s="6" t="s">
        <v>198</v>
      </c>
      <c r="C95" s="6">
        <v>1</v>
      </c>
      <c r="D95" s="6">
        <v>8114</v>
      </c>
      <c r="E95" s="6">
        <v>8131</v>
      </c>
      <c r="F95" s="6">
        <v>8209</v>
      </c>
      <c r="G95" s="6">
        <f t="shared" si="2"/>
        <v>96</v>
      </c>
      <c r="H95" s="6" t="s">
        <v>15</v>
      </c>
      <c r="I95" s="6" t="s">
        <v>199</v>
      </c>
      <c r="J95" s="6" t="s">
        <v>42</v>
      </c>
      <c r="K95" s="6">
        <v>7</v>
      </c>
      <c r="L95" s="6"/>
    </row>
    <row r="96" s="1" customFormat="1" spans="1:12">
      <c r="A96" s="11" t="s">
        <v>193</v>
      </c>
      <c r="B96" s="6" t="s">
        <v>200</v>
      </c>
      <c r="C96" s="6">
        <v>4</v>
      </c>
      <c r="D96" s="6">
        <v>3440</v>
      </c>
      <c r="E96" s="6">
        <v>3469</v>
      </c>
      <c r="F96" s="6">
        <v>3497</v>
      </c>
      <c r="G96" s="6">
        <f t="shared" si="2"/>
        <v>58</v>
      </c>
      <c r="H96" s="6" t="s">
        <v>15</v>
      </c>
      <c r="I96" s="6" t="s">
        <v>201</v>
      </c>
      <c r="J96" s="6" t="s">
        <v>104</v>
      </c>
      <c r="K96" s="6">
        <v>7</v>
      </c>
      <c r="L96" s="6"/>
    </row>
    <row r="97" s="1" customFormat="1" spans="1:12">
      <c r="A97" s="11" t="s">
        <v>193</v>
      </c>
      <c r="B97" s="6" t="s">
        <v>202</v>
      </c>
      <c r="C97" s="6">
        <v>4</v>
      </c>
      <c r="D97" s="6">
        <v>1482</v>
      </c>
      <c r="E97" s="6">
        <v>1516</v>
      </c>
      <c r="F97" s="6">
        <v>1528</v>
      </c>
      <c r="G97" s="6">
        <f t="shared" si="2"/>
        <v>47</v>
      </c>
      <c r="H97" s="6" t="s">
        <v>15</v>
      </c>
      <c r="I97" s="6" t="s">
        <v>203</v>
      </c>
      <c r="J97" s="6" t="s">
        <v>49</v>
      </c>
      <c r="K97" s="6">
        <v>1</v>
      </c>
      <c r="L97" s="6"/>
    </row>
    <row r="98" s="1" customFormat="1" spans="1:12">
      <c r="A98" s="11" t="s">
        <v>193</v>
      </c>
      <c r="B98" s="6" t="s">
        <v>204</v>
      </c>
      <c r="C98" s="6">
        <v>7</v>
      </c>
      <c r="D98" s="6">
        <v>8518</v>
      </c>
      <c r="E98" s="6">
        <v>8551</v>
      </c>
      <c r="F98" s="6">
        <v>8577</v>
      </c>
      <c r="G98" s="6">
        <f t="shared" ref="G98:G129" si="3">SUM(F98-D98)+1</f>
        <v>60</v>
      </c>
      <c r="H98" s="6" t="s">
        <v>15</v>
      </c>
      <c r="I98" s="6" t="s">
        <v>97</v>
      </c>
      <c r="J98" s="6" t="s">
        <v>17</v>
      </c>
      <c r="K98" s="6">
        <v>7</v>
      </c>
      <c r="L98" s="6" t="s">
        <v>205</v>
      </c>
    </row>
    <row r="99" s="1" customFormat="1" spans="1:12">
      <c r="A99" s="11" t="s">
        <v>193</v>
      </c>
      <c r="B99" s="6" t="s">
        <v>206</v>
      </c>
      <c r="C99" s="6">
        <v>7</v>
      </c>
      <c r="D99" s="6">
        <v>9071</v>
      </c>
      <c r="E99" s="6">
        <v>9140</v>
      </c>
      <c r="F99" s="6">
        <v>9165</v>
      </c>
      <c r="G99" s="6">
        <f t="shared" si="3"/>
        <v>95</v>
      </c>
      <c r="H99" s="6" t="s">
        <v>15</v>
      </c>
      <c r="I99" s="6" t="s">
        <v>207</v>
      </c>
      <c r="J99" s="6" t="s">
        <v>49</v>
      </c>
      <c r="K99" s="6">
        <v>7</v>
      </c>
      <c r="L99" s="6"/>
    </row>
    <row r="100" s="1" customFormat="1" spans="1:12">
      <c r="A100" s="11" t="s">
        <v>193</v>
      </c>
      <c r="B100" s="6" t="s">
        <v>208</v>
      </c>
      <c r="C100" s="6">
        <v>7</v>
      </c>
      <c r="D100" s="6">
        <v>147</v>
      </c>
      <c r="E100" s="6">
        <v>181</v>
      </c>
      <c r="F100" s="6">
        <v>238</v>
      </c>
      <c r="G100" s="6">
        <f t="shared" si="3"/>
        <v>92</v>
      </c>
      <c r="H100" s="6" t="s">
        <v>15</v>
      </c>
      <c r="I100" s="6" t="s">
        <v>192</v>
      </c>
      <c r="J100" s="6" t="s">
        <v>42</v>
      </c>
      <c r="K100" s="6">
        <v>7</v>
      </c>
      <c r="L100" s="6" t="s">
        <v>156</v>
      </c>
    </row>
    <row r="101" s="1" customFormat="1" spans="1:12">
      <c r="A101" s="11" t="s">
        <v>209</v>
      </c>
      <c r="B101" s="6" t="s">
        <v>210</v>
      </c>
      <c r="C101" s="6">
        <v>7</v>
      </c>
      <c r="D101" s="6">
        <v>5589</v>
      </c>
      <c r="E101" s="6">
        <v>5621</v>
      </c>
      <c r="F101" s="6">
        <v>5646</v>
      </c>
      <c r="G101" s="6">
        <f t="shared" si="3"/>
        <v>58</v>
      </c>
      <c r="H101" s="6" t="s">
        <v>15</v>
      </c>
      <c r="I101" s="6" t="s">
        <v>211</v>
      </c>
      <c r="J101" s="6" t="s">
        <v>17</v>
      </c>
      <c r="K101" s="6">
        <v>3</v>
      </c>
      <c r="L101" s="6" t="s">
        <v>93</v>
      </c>
    </row>
    <row r="102" s="1" customFormat="1" spans="1:12">
      <c r="A102" s="11" t="s">
        <v>209</v>
      </c>
      <c r="B102" s="6" t="s">
        <v>212</v>
      </c>
      <c r="C102" s="6">
        <v>7</v>
      </c>
      <c r="D102" s="6">
        <v>2853</v>
      </c>
      <c r="E102" s="6">
        <v>2882</v>
      </c>
      <c r="F102" s="6">
        <v>2942</v>
      </c>
      <c r="G102" s="6">
        <f t="shared" si="3"/>
        <v>90</v>
      </c>
      <c r="H102" s="6" t="s">
        <v>15</v>
      </c>
      <c r="I102" s="6">
        <v>4</v>
      </c>
      <c r="J102" s="6" t="s">
        <v>17</v>
      </c>
      <c r="K102" s="6">
        <v>3</v>
      </c>
      <c r="L102" s="6"/>
    </row>
    <row r="103" s="1" customFormat="1" spans="1:12">
      <c r="A103" s="11" t="s">
        <v>213</v>
      </c>
      <c r="B103" s="6" t="s">
        <v>214</v>
      </c>
      <c r="C103" s="6">
        <v>2</v>
      </c>
      <c r="D103" s="6">
        <v>402</v>
      </c>
      <c r="E103" s="6">
        <v>438</v>
      </c>
      <c r="F103" s="6">
        <v>501</v>
      </c>
      <c r="G103" s="6">
        <f t="shared" si="3"/>
        <v>100</v>
      </c>
      <c r="H103" s="6" t="s">
        <v>15</v>
      </c>
      <c r="I103" s="6">
        <v>7</v>
      </c>
      <c r="J103" s="6" t="s">
        <v>17</v>
      </c>
      <c r="K103" s="6">
        <v>7</v>
      </c>
      <c r="L103" s="6"/>
    </row>
    <row r="104" s="1" customFormat="1" spans="1:12">
      <c r="A104" s="11" t="s">
        <v>213</v>
      </c>
      <c r="B104" s="6" t="s">
        <v>215</v>
      </c>
      <c r="C104" s="6">
        <v>3</v>
      </c>
      <c r="D104" s="6">
        <v>380</v>
      </c>
      <c r="E104" s="6">
        <v>421</v>
      </c>
      <c r="F104" s="6">
        <v>428</v>
      </c>
      <c r="G104" s="6">
        <f t="shared" si="3"/>
        <v>49</v>
      </c>
      <c r="H104" s="6" t="s">
        <v>15</v>
      </c>
      <c r="I104" s="6" t="s">
        <v>126</v>
      </c>
      <c r="J104" s="6" t="s">
        <v>17</v>
      </c>
      <c r="K104" s="6">
        <v>7</v>
      </c>
      <c r="L104" s="6" t="s">
        <v>93</v>
      </c>
    </row>
    <row r="105" s="1" customFormat="1" spans="1:12">
      <c r="A105" s="11" t="s">
        <v>213</v>
      </c>
      <c r="B105" s="6" t="s">
        <v>216</v>
      </c>
      <c r="C105" s="6">
        <v>3</v>
      </c>
      <c r="D105" s="6">
        <v>3659</v>
      </c>
      <c r="E105" s="6">
        <v>3683</v>
      </c>
      <c r="F105" s="6">
        <v>3697</v>
      </c>
      <c r="G105" s="6">
        <f t="shared" si="3"/>
        <v>39</v>
      </c>
      <c r="H105" s="6" t="s">
        <v>15</v>
      </c>
      <c r="I105" s="6" t="s">
        <v>217</v>
      </c>
      <c r="J105" s="6" t="s">
        <v>49</v>
      </c>
      <c r="K105" s="6">
        <v>1</v>
      </c>
      <c r="L105" s="6" t="s">
        <v>93</v>
      </c>
    </row>
    <row r="106" s="1" customFormat="1" spans="1:12">
      <c r="A106" s="11" t="s">
        <v>213</v>
      </c>
      <c r="B106" s="6" t="s">
        <v>218</v>
      </c>
      <c r="C106" s="6">
        <v>4</v>
      </c>
      <c r="D106" s="6">
        <v>492</v>
      </c>
      <c r="E106" s="6">
        <v>505</v>
      </c>
      <c r="F106" s="6">
        <v>569</v>
      </c>
      <c r="G106" s="6">
        <f t="shared" si="3"/>
        <v>78</v>
      </c>
      <c r="H106" s="6" t="s">
        <v>15</v>
      </c>
      <c r="I106" s="6">
        <v>7</v>
      </c>
      <c r="J106" s="6" t="s">
        <v>17</v>
      </c>
      <c r="K106" s="6">
        <v>7</v>
      </c>
      <c r="L106" s="6"/>
    </row>
    <row r="107" s="1" customFormat="1" spans="1:12">
      <c r="A107" s="11" t="s">
        <v>213</v>
      </c>
      <c r="B107" s="6" t="s">
        <v>219</v>
      </c>
      <c r="C107" s="6">
        <v>5</v>
      </c>
      <c r="D107" s="6">
        <v>335</v>
      </c>
      <c r="E107" s="6">
        <v>357</v>
      </c>
      <c r="F107" s="6">
        <v>405</v>
      </c>
      <c r="G107" s="6">
        <f t="shared" si="3"/>
        <v>71</v>
      </c>
      <c r="H107" s="6" t="s">
        <v>15</v>
      </c>
      <c r="I107" s="6" t="s">
        <v>95</v>
      </c>
      <c r="J107" s="6" t="s">
        <v>49</v>
      </c>
      <c r="K107" s="6">
        <v>1</v>
      </c>
      <c r="L107" s="6" t="s">
        <v>93</v>
      </c>
    </row>
    <row r="108" s="1" customFormat="1" spans="1:12">
      <c r="A108" s="11" t="s">
        <v>220</v>
      </c>
      <c r="B108" s="6" t="s">
        <v>221</v>
      </c>
      <c r="C108" s="6">
        <v>1</v>
      </c>
      <c r="D108" s="6">
        <v>5024</v>
      </c>
      <c r="E108" s="6">
        <v>5037</v>
      </c>
      <c r="F108" s="6">
        <v>5074</v>
      </c>
      <c r="G108" s="6">
        <f t="shared" si="3"/>
        <v>51</v>
      </c>
      <c r="H108" s="6" t="s">
        <v>15</v>
      </c>
      <c r="I108" s="6">
        <v>17</v>
      </c>
      <c r="J108" s="6" t="s">
        <v>17</v>
      </c>
      <c r="K108" s="6">
        <v>7</v>
      </c>
      <c r="L108" s="6" t="s">
        <v>93</v>
      </c>
    </row>
    <row r="109" s="1" customFormat="1" spans="1:12">
      <c r="A109" s="11" t="s">
        <v>222</v>
      </c>
      <c r="B109" s="6" t="s">
        <v>223</v>
      </c>
      <c r="C109" s="6">
        <v>2</v>
      </c>
      <c r="D109" s="6">
        <v>3763</v>
      </c>
      <c r="E109" s="6">
        <v>3779</v>
      </c>
      <c r="F109" s="6">
        <v>3835</v>
      </c>
      <c r="G109" s="6">
        <f t="shared" si="3"/>
        <v>73</v>
      </c>
      <c r="H109" s="6" t="s">
        <v>15</v>
      </c>
      <c r="I109" s="6">
        <v>31</v>
      </c>
      <c r="J109" s="6" t="s">
        <v>80</v>
      </c>
      <c r="K109" s="6">
        <v>7</v>
      </c>
      <c r="L109" s="6"/>
    </row>
    <row r="110" s="1" customFormat="1" spans="1:12">
      <c r="A110" s="11" t="s">
        <v>224</v>
      </c>
      <c r="B110" s="6" t="s">
        <v>225</v>
      </c>
      <c r="C110" s="6">
        <v>4</v>
      </c>
      <c r="D110" s="6">
        <v>4328</v>
      </c>
      <c r="E110" s="6">
        <v>4371</v>
      </c>
      <c r="F110" s="6">
        <v>4408</v>
      </c>
      <c r="G110" s="6">
        <f t="shared" si="3"/>
        <v>81</v>
      </c>
      <c r="H110" s="6" t="s">
        <v>15</v>
      </c>
      <c r="I110" s="6" t="s">
        <v>226</v>
      </c>
      <c r="J110" s="6" t="s">
        <v>42</v>
      </c>
      <c r="K110" s="6">
        <v>7</v>
      </c>
      <c r="L110" s="6" t="s">
        <v>138</v>
      </c>
    </row>
    <row r="111" s="1" customFormat="1" spans="1:12">
      <c r="A111" s="11" t="s">
        <v>224</v>
      </c>
      <c r="B111" s="6" t="s">
        <v>227</v>
      </c>
      <c r="C111" s="6">
        <v>4</v>
      </c>
      <c r="D111" s="6">
        <v>2116</v>
      </c>
      <c r="E111" s="6">
        <v>2130</v>
      </c>
      <c r="F111" s="6">
        <v>2202</v>
      </c>
      <c r="G111" s="6">
        <f t="shared" si="3"/>
        <v>87</v>
      </c>
      <c r="H111" s="6" t="s">
        <v>15</v>
      </c>
      <c r="I111" s="6" t="s">
        <v>228</v>
      </c>
      <c r="J111" s="6" t="s">
        <v>42</v>
      </c>
      <c r="K111" s="6">
        <v>7</v>
      </c>
      <c r="L111" s="6" t="s">
        <v>138</v>
      </c>
    </row>
    <row r="112" s="1" customFormat="1" spans="1:12">
      <c r="A112" s="11" t="s">
        <v>224</v>
      </c>
      <c r="B112" s="6" t="s">
        <v>229</v>
      </c>
      <c r="C112" s="6">
        <v>5</v>
      </c>
      <c r="D112" s="6">
        <v>2840</v>
      </c>
      <c r="E112" s="6">
        <v>2873</v>
      </c>
      <c r="F112" s="6">
        <v>2937</v>
      </c>
      <c r="G112" s="6">
        <f t="shared" si="3"/>
        <v>98</v>
      </c>
      <c r="H112" s="6" t="s">
        <v>15</v>
      </c>
      <c r="I112" s="6" t="s">
        <v>230</v>
      </c>
      <c r="J112" s="6" t="s">
        <v>42</v>
      </c>
      <c r="K112" s="6">
        <v>7</v>
      </c>
      <c r="L112" s="6" t="s">
        <v>138</v>
      </c>
    </row>
    <row r="113" s="1" customFormat="1" spans="1:12">
      <c r="A113" s="11" t="s">
        <v>224</v>
      </c>
      <c r="B113" s="6" t="s">
        <v>231</v>
      </c>
      <c r="C113" s="6">
        <v>6</v>
      </c>
      <c r="D113" s="6">
        <v>2822</v>
      </c>
      <c r="E113" s="6">
        <v>2851</v>
      </c>
      <c r="F113" s="6">
        <v>2896</v>
      </c>
      <c r="G113" s="6">
        <f t="shared" si="3"/>
        <v>75</v>
      </c>
      <c r="H113" s="6" t="s">
        <v>15</v>
      </c>
      <c r="I113" s="6" t="s">
        <v>232</v>
      </c>
      <c r="J113" s="6" t="s">
        <v>42</v>
      </c>
      <c r="K113" s="6">
        <v>7</v>
      </c>
      <c r="L113" s="6"/>
    </row>
    <row r="114" s="1" customFormat="1" spans="1:12">
      <c r="A114" s="11" t="s">
        <v>233</v>
      </c>
      <c r="B114" s="6" t="s">
        <v>234</v>
      </c>
      <c r="C114" s="6">
        <v>1</v>
      </c>
      <c r="D114" s="6">
        <v>295</v>
      </c>
      <c r="E114" s="6">
        <v>323</v>
      </c>
      <c r="F114" s="6">
        <v>370</v>
      </c>
      <c r="G114" s="6">
        <f t="shared" si="3"/>
        <v>76</v>
      </c>
      <c r="H114" s="6" t="s">
        <v>15</v>
      </c>
      <c r="I114" s="6" t="s">
        <v>235</v>
      </c>
      <c r="J114" s="6" t="s">
        <v>17</v>
      </c>
      <c r="K114" s="6">
        <v>7</v>
      </c>
      <c r="L114" s="6" t="s">
        <v>236</v>
      </c>
    </row>
    <row r="115" s="1" customFormat="1" spans="1:12">
      <c r="A115" s="11" t="s">
        <v>233</v>
      </c>
      <c r="B115" s="6" t="s">
        <v>237</v>
      </c>
      <c r="C115" s="6">
        <v>1</v>
      </c>
      <c r="D115" s="6">
        <v>117</v>
      </c>
      <c r="E115" s="6">
        <v>146</v>
      </c>
      <c r="F115" s="6">
        <v>203</v>
      </c>
      <c r="G115" s="6">
        <f t="shared" si="3"/>
        <v>87</v>
      </c>
      <c r="H115" s="6" t="s">
        <v>15</v>
      </c>
      <c r="I115" s="6" t="s">
        <v>192</v>
      </c>
      <c r="J115" s="6" t="s">
        <v>42</v>
      </c>
      <c r="K115" s="6">
        <v>7</v>
      </c>
      <c r="L115" s="6" t="s">
        <v>138</v>
      </c>
    </row>
    <row r="116" s="1" customFormat="1" spans="1:12">
      <c r="A116" s="11" t="s">
        <v>233</v>
      </c>
      <c r="B116" s="6" t="s">
        <v>238</v>
      </c>
      <c r="C116" s="6">
        <v>2</v>
      </c>
      <c r="D116" s="6">
        <v>2881</v>
      </c>
      <c r="E116" s="6">
        <v>2918</v>
      </c>
      <c r="F116" s="6">
        <v>2947</v>
      </c>
      <c r="G116" s="6">
        <f t="shared" si="3"/>
        <v>67</v>
      </c>
      <c r="H116" s="6" t="s">
        <v>15</v>
      </c>
      <c r="I116" s="6" t="s">
        <v>70</v>
      </c>
      <c r="J116" s="6" t="s">
        <v>17</v>
      </c>
      <c r="K116" s="6">
        <v>7</v>
      </c>
      <c r="L116" s="6"/>
    </row>
    <row r="117" s="1" customFormat="1" spans="1:12">
      <c r="A117" s="11" t="s">
        <v>233</v>
      </c>
      <c r="B117" s="6" t="s">
        <v>239</v>
      </c>
      <c r="C117" s="6">
        <v>2</v>
      </c>
      <c r="D117" s="6">
        <v>2952</v>
      </c>
      <c r="E117" s="6">
        <v>2978</v>
      </c>
      <c r="F117" s="6">
        <v>3028</v>
      </c>
      <c r="G117" s="6">
        <f t="shared" si="3"/>
        <v>77</v>
      </c>
      <c r="H117" s="6" t="s">
        <v>15</v>
      </c>
      <c r="I117" s="6" t="s">
        <v>240</v>
      </c>
      <c r="J117" s="6" t="s">
        <v>17</v>
      </c>
      <c r="K117" s="6">
        <v>3</v>
      </c>
      <c r="L117" s="6" t="s">
        <v>236</v>
      </c>
    </row>
    <row r="118" s="1" customFormat="1" spans="1:12">
      <c r="A118" s="11" t="s">
        <v>233</v>
      </c>
      <c r="B118" s="6" t="s">
        <v>241</v>
      </c>
      <c r="C118" s="6">
        <v>2</v>
      </c>
      <c r="D118" s="6">
        <v>2607</v>
      </c>
      <c r="E118" s="6">
        <v>2642</v>
      </c>
      <c r="F118" s="6">
        <v>2685</v>
      </c>
      <c r="G118" s="6">
        <f t="shared" si="3"/>
        <v>79</v>
      </c>
      <c r="H118" s="6" t="s">
        <v>15</v>
      </c>
      <c r="I118" s="6" t="s">
        <v>242</v>
      </c>
      <c r="J118" s="6" t="s">
        <v>17</v>
      </c>
      <c r="K118" s="6">
        <v>3</v>
      </c>
      <c r="L118" s="6" t="s">
        <v>236</v>
      </c>
    </row>
    <row r="119" s="1" customFormat="1" spans="1:12">
      <c r="A119" s="11" t="s">
        <v>233</v>
      </c>
      <c r="B119" s="6" t="s">
        <v>243</v>
      </c>
      <c r="C119" s="6">
        <v>2</v>
      </c>
      <c r="D119" s="6">
        <v>4015</v>
      </c>
      <c r="E119" s="6">
        <v>4038</v>
      </c>
      <c r="F119" s="6">
        <v>4098</v>
      </c>
      <c r="G119" s="6">
        <f t="shared" si="3"/>
        <v>84</v>
      </c>
      <c r="H119" s="6" t="s">
        <v>15</v>
      </c>
      <c r="I119" s="6" t="s">
        <v>244</v>
      </c>
      <c r="J119" s="6" t="s">
        <v>42</v>
      </c>
      <c r="K119" s="6">
        <v>7</v>
      </c>
      <c r="L119" s="6" t="s">
        <v>138</v>
      </c>
    </row>
    <row r="120" s="1" customFormat="1" spans="1:12">
      <c r="A120" s="11" t="s">
        <v>233</v>
      </c>
      <c r="B120" s="6" t="s">
        <v>245</v>
      </c>
      <c r="C120" s="6">
        <v>3</v>
      </c>
      <c r="D120" s="6">
        <v>1704</v>
      </c>
      <c r="E120" s="6">
        <v>1736</v>
      </c>
      <c r="F120" s="6">
        <v>1737</v>
      </c>
      <c r="G120" s="6">
        <f t="shared" si="3"/>
        <v>34</v>
      </c>
      <c r="H120" s="6" t="s">
        <v>15</v>
      </c>
      <c r="I120" s="6" t="s">
        <v>62</v>
      </c>
      <c r="J120" s="6" t="s">
        <v>17</v>
      </c>
      <c r="K120" s="6">
        <v>7</v>
      </c>
      <c r="L120" s="6"/>
    </row>
    <row r="121" s="1" customFormat="1" spans="1:12">
      <c r="A121" s="11" t="s">
        <v>233</v>
      </c>
      <c r="B121" s="6" t="s">
        <v>246</v>
      </c>
      <c r="C121" s="6">
        <v>3</v>
      </c>
      <c r="D121" s="6">
        <v>3582</v>
      </c>
      <c r="E121" s="6">
        <v>3608</v>
      </c>
      <c r="F121" s="6">
        <v>3640</v>
      </c>
      <c r="G121" s="6">
        <f t="shared" si="3"/>
        <v>59</v>
      </c>
      <c r="H121" s="6" t="s">
        <v>15</v>
      </c>
      <c r="I121" s="6" t="s">
        <v>62</v>
      </c>
      <c r="J121" s="6" t="s">
        <v>17</v>
      </c>
      <c r="K121" s="6">
        <v>7</v>
      </c>
      <c r="L121" s="6" t="s">
        <v>168</v>
      </c>
    </row>
    <row r="122" s="1" customFormat="1" spans="1:12">
      <c r="A122" s="11" t="s">
        <v>233</v>
      </c>
      <c r="B122" s="6" t="s">
        <v>247</v>
      </c>
      <c r="C122" s="6">
        <v>5</v>
      </c>
      <c r="D122" s="6">
        <v>5073</v>
      </c>
      <c r="E122" s="6">
        <v>5089</v>
      </c>
      <c r="F122" s="6">
        <v>5146</v>
      </c>
      <c r="G122" s="6">
        <f t="shared" si="3"/>
        <v>74</v>
      </c>
      <c r="H122" s="6" t="s">
        <v>15</v>
      </c>
      <c r="I122" s="6" t="s">
        <v>248</v>
      </c>
      <c r="J122" s="6" t="s">
        <v>104</v>
      </c>
      <c r="K122" s="6">
        <v>7</v>
      </c>
      <c r="L122" s="6" t="s">
        <v>138</v>
      </c>
    </row>
    <row r="123" s="1" customFormat="1" spans="1:12">
      <c r="A123" s="11" t="s">
        <v>233</v>
      </c>
      <c r="B123" s="6" t="s">
        <v>249</v>
      </c>
      <c r="C123" s="6">
        <v>6</v>
      </c>
      <c r="D123" s="6">
        <v>3848</v>
      </c>
      <c r="E123" s="6">
        <v>3882</v>
      </c>
      <c r="F123" s="6">
        <v>3941</v>
      </c>
      <c r="G123" s="6">
        <f t="shared" si="3"/>
        <v>94</v>
      </c>
      <c r="H123" s="6" t="s">
        <v>15</v>
      </c>
      <c r="I123" s="6" t="s">
        <v>250</v>
      </c>
      <c r="J123" s="6" t="s">
        <v>104</v>
      </c>
      <c r="K123" s="6">
        <v>7</v>
      </c>
      <c r="L123" s="6"/>
    </row>
    <row r="124" s="1" customFormat="1" spans="1:12">
      <c r="A124" s="11" t="s">
        <v>233</v>
      </c>
      <c r="B124" s="6" t="s">
        <v>251</v>
      </c>
      <c r="C124" s="6">
        <v>7</v>
      </c>
      <c r="D124" s="6">
        <v>2848</v>
      </c>
      <c r="E124" s="6">
        <v>2871</v>
      </c>
      <c r="F124" s="6">
        <v>2947</v>
      </c>
      <c r="G124" s="6">
        <f t="shared" si="3"/>
        <v>100</v>
      </c>
      <c r="H124" s="6" t="s">
        <v>15</v>
      </c>
      <c r="I124" s="6" t="s">
        <v>192</v>
      </c>
      <c r="J124" s="6" t="s">
        <v>42</v>
      </c>
      <c r="K124" s="6">
        <v>7</v>
      </c>
      <c r="L124" s="6" t="s">
        <v>138</v>
      </c>
    </row>
    <row r="125" s="1" customFormat="1" spans="1:12">
      <c r="A125" s="11" t="s">
        <v>233</v>
      </c>
      <c r="B125" s="6" t="s">
        <v>252</v>
      </c>
      <c r="C125" s="6">
        <v>7</v>
      </c>
      <c r="D125" s="6">
        <v>5579</v>
      </c>
      <c r="E125" s="6">
        <v>5603</v>
      </c>
      <c r="F125" s="6">
        <v>5654</v>
      </c>
      <c r="G125" s="6">
        <f t="shared" si="3"/>
        <v>76</v>
      </c>
      <c r="H125" s="6" t="s">
        <v>15</v>
      </c>
      <c r="I125" s="6" t="s">
        <v>192</v>
      </c>
      <c r="J125" s="6" t="s">
        <v>42</v>
      </c>
      <c r="K125" s="6">
        <v>7</v>
      </c>
      <c r="L125" s="6" t="s">
        <v>138</v>
      </c>
    </row>
    <row r="126" s="1" customFormat="1" spans="1:12">
      <c r="A126" s="11" t="s">
        <v>233</v>
      </c>
      <c r="B126" s="6" t="s">
        <v>253</v>
      </c>
      <c r="C126" s="6">
        <v>7</v>
      </c>
      <c r="D126" s="6">
        <v>2750</v>
      </c>
      <c r="E126" s="6">
        <v>2783</v>
      </c>
      <c r="F126" s="6">
        <v>2844</v>
      </c>
      <c r="G126" s="6">
        <f t="shared" si="3"/>
        <v>95</v>
      </c>
      <c r="H126" s="6" t="s">
        <v>15</v>
      </c>
      <c r="I126" s="6" t="s">
        <v>254</v>
      </c>
      <c r="J126" s="6" t="s">
        <v>80</v>
      </c>
      <c r="K126" s="6">
        <v>4</v>
      </c>
      <c r="L126" s="6" t="s">
        <v>93</v>
      </c>
    </row>
    <row r="127" s="1" customFormat="1" spans="1:12">
      <c r="A127" s="11" t="s">
        <v>255</v>
      </c>
      <c r="B127" s="6" t="s">
        <v>256</v>
      </c>
      <c r="C127" s="6">
        <v>4</v>
      </c>
      <c r="D127" s="6">
        <v>1071</v>
      </c>
      <c r="E127" s="6">
        <v>1143</v>
      </c>
      <c r="F127" s="6">
        <v>1134</v>
      </c>
      <c r="G127" s="6">
        <f t="shared" si="3"/>
        <v>64</v>
      </c>
      <c r="H127" s="6" t="s">
        <v>15</v>
      </c>
      <c r="I127" s="6" t="s">
        <v>257</v>
      </c>
      <c r="J127" s="6" t="s">
        <v>104</v>
      </c>
      <c r="K127" s="6">
        <v>7</v>
      </c>
      <c r="L127" s="6" t="s">
        <v>138</v>
      </c>
    </row>
    <row r="128" s="1" customFormat="1" spans="1:12">
      <c r="A128" s="11" t="s">
        <v>255</v>
      </c>
      <c r="B128" s="6" t="s">
        <v>258</v>
      </c>
      <c r="C128" s="6">
        <v>4</v>
      </c>
      <c r="D128" s="6">
        <v>370</v>
      </c>
      <c r="E128" s="6">
        <v>424</v>
      </c>
      <c r="F128" s="6">
        <v>441</v>
      </c>
      <c r="G128" s="6">
        <f t="shared" si="3"/>
        <v>72</v>
      </c>
      <c r="H128" s="6" t="s">
        <v>15</v>
      </c>
      <c r="I128" s="6" t="s">
        <v>259</v>
      </c>
      <c r="J128" s="6" t="s">
        <v>31</v>
      </c>
      <c r="K128" s="6">
        <v>2</v>
      </c>
      <c r="L128" s="6"/>
    </row>
    <row r="129" s="1" customFormat="1" spans="1:12">
      <c r="A129" s="11" t="s">
        <v>255</v>
      </c>
      <c r="B129" s="6" t="s">
        <v>260</v>
      </c>
      <c r="C129" s="6">
        <v>4</v>
      </c>
      <c r="D129" s="6">
        <v>1288</v>
      </c>
      <c r="E129" s="6">
        <v>1367</v>
      </c>
      <c r="F129" s="6">
        <v>1376</v>
      </c>
      <c r="G129" s="6">
        <f t="shared" si="3"/>
        <v>89</v>
      </c>
      <c r="H129" s="6" t="s">
        <v>15</v>
      </c>
      <c r="I129" s="6" t="s">
        <v>65</v>
      </c>
      <c r="J129" s="6" t="s">
        <v>31</v>
      </c>
      <c r="K129" s="6">
        <v>2</v>
      </c>
      <c r="L129" s="6"/>
    </row>
    <row r="130" s="1" customFormat="1" spans="1:12">
      <c r="A130" s="11" t="s">
        <v>261</v>
      </c>
      <c r="B130" s="6" t="s">
        <v>262</v>
      </c>
      <c r="C130" s="6">
        <v>1</v>
      </c>
      <c r="D130" s="6">
        <v>2379</v>
      </c>
      <c r="E130" s="6">
        <v>2422</v>
      </c>
      <c r="F130" s="6">
        <v>2460</v>
      </c>
      <c r="G130" s="6">
        <f t="shared" ref="G130:G160" si="4">SUM(F130-D130)+1</f>
        <v>82</v>
      </c>
      <c r="H130" s="6" t="s">
        <v>15</v>
      </c>
      <c r="I130" s="6" t="s">
        <v>263</v>
      </c>
      <c r="J130" s="6" t="s">
        <v>17</v>
      </c>
      <c r="K130" s="6">
        <v>3</v>
      </c>
      <c r="L130" s="6"/>
    </row>
    <row r="131" s="1" customFormat="1" spans="1:12">
      <c r="A131" s="11" t="s">
        <v>261</v>
      </c>
      <c r="B131" s="6" t="s">
        <v>264</v>
      </c>
      <c r="C131" s="6">
        <v>1</v>
      </c>
      <c r="D131" s="6">
        <v>6344</v>
      </c>
      <c r="E131" s="6">
        <v>6392</v>
      </c>
      <c r="F131" s="6">
        <v>6434</v>
      </c>
      <c r="G131" s="6">
        <f t="shared" si="4"/>
        <v>91</v>
      </c>
      <c r="H131" s="6" t="s">
        <v>15</v>
      </c>
      <c r="I131" s="6">
        <v>4</v>
      </c>
      <c r="J131" s="6" t="s">
        <v>17</v>
      </c>
      <c r="K131" s="6">
        <v>3</v>
      </c>
      <c r="L131" s="6" t="s">
        <v>138</v>
      </c>
    </row>
    <row r="132" s="1" customFormat="1" spans="1:12">
      <c r="A132" s="11" t="s">
        <v>261</v>
      </c>
      <c r="B132" s="6" t="s">
        <v>265</v>
      </c>
      <c r="C132" s="6">
        <v>5</v>
      </c>
      <c r="D132" s="6">
        <v>1921</v>
      </c>
      <c r="E132" s="6">
        <v>1960</v>
      </c>
      <c r="F132" s="6">
        <v>2001</v>
      </c>
      <c r="G132" s="6">
        <f t="shared" si="4"/>
        <v>81</v>
      </c>
      <c r="H132" s="6" t="s">
        <v>15</v>
      </c>
      <c r="I132" s="6" t="s">
        <v>266</v>
      </c>
      <c r="J132" s="6" t="s">
        <v>17</v>
      </c>
      <c r="K132" s="6">
        <v>3</v>
      </c>
      <c r="L132" s="6" t="s">
        <v>93</v>
      </c>
    </row>
    <row r="133" s="1" customFormat="1" spans="1:12">
      <c r="A133" s="11" t="s">
        <v>267</v>
      </c>
      <c r="B133" s="6" t="s">
        <v>268</v>
      </c>
      <c r="C133" s="6">
        <v>3</v>
      </c>
      <c r="D133" s="6">
        <v>3831</v>
      </c>
      <c r="E133" s="6">
        <v>3852</v>
      </c>
      <c r="F133" s="6">
        <v>3886</v>
      </c>
      <c r="G133" s="6">
        <f t="shared" si="4"/>
        <v>56</v>
      </c>
      <c r="H133" s="6" t="s">
        <v>15</v>
      </c>
      <c r="I133" s="6" t="s">
        <v>62</v>
      </c>
      <c r="J133" s="6" t="s">
        <v>17</v>
      </c>
      <c r="K133" s="6">
        <v>7</v>
      </c>
      <c r="L133" s="6"/>
    </row>
    <row r="134" s="1" customFormat="1" spans="1:12">
      <c r="A134" s="11" t="s">
        <v>269</v>
      </c>
      <c r="B134" s="6" t="s">
        <v>270</v>
      </c>
      <c r="C134" s="6">
        <v>3</v>
      </c>
      <c r="D134" s="6">
        <v>4896</v>
      </c>
      <c r="E134" s="6">
        <v>1930</v>
      </c>
      <c r="F134" s="6">
        <v>4970</v>
      </c>
      <c r="G134" s="6">
        <f t="shared" si="4"/>
        <v>75</v>
      </c>
      <c r="H134" s="6" t="s">
        <v>15</v>
      </c>
      <c r="I134" s="6" t="s">
        <v>266</v>
      </c>
      <c r="J134" s="6" t="s">
        <v>17</v>
      </c>
      <c r="K134" s="6">
        <v>3</v>
      </c>
      <c r="L134" s="6"/>
    </row>
    <row r="135" s="1" customFormat="1" spans="1:12">
      <c r="A135" s="11" t="s">
        <v>269</v>
      </c>
      <c r="B135" s="6" t="s">
        <v>271</v>
      </c>
      <c r="C135" s="6">
        <v>3</v>
      </c>
      <c r="D135" s="6">
        <v>5126</v>
      </c>
      <c r="E135" s="6">
        <v>5127</v>
      </c>
      <c r="F135" s="6">
        <v>5207</v>
      </c>
      <c r="G135" s="6">
        <f t="shared" si="4"/>
        <v>82</v>
      </c>
      <c r="H135" s="6" t="s">
        <v>15</v>
      </c>
      <c r="I135" s="6" t="s">
        <v>266</v>
      </c>
      <c r="J135" s="6" t="s">
        <v>17</v>
      </c>
      <c r="K135" s="6">
        <v>3</v>
      </c>
      <c r="L135" s="6"/>
    </row>
    <row r="136" s="1" customFormat="1" spans="1:12">
      <c r="A136" s="11" t="s">
        <v>269</v>
      </c>
      <c r="B136" s="6" t="s">
        <v>272</v>
      </c>
      <c r="C136" s="6">
        <v>3</v>
      </c>
      <c r="D136" s="6">
        <v>3425</v>
      </c>
      <c r="E136" s="6">
        <v>3464</v>
      </c>
      <c r="F136" s="6">
        <v>3469</v>
      </c>
      <c r="G136" s="6">
        <f t="shared" si="4"/>
        <v>45</v>
      </c>
      <c r="H136" s="6" t="s">
        <v>15</v>
      </c>
      <c r="I136" s="6" t="s">
        <v>273</v>
      </c>
      <c r="J136" s="6" t="s">
        <v>42</v>
      </c>
      <c r="K136" s="6">
        <v>7</v>
      </c>
      <c r="L136" s="6"/>
    </row>
    <row r="137" s="1" customFormat="1" spans="1:12">
      <c r="A137" s="11" t="s">
        <v>269</v>
      </c>
      <c r="B137" s="6" t="s">
        <v>274</v>
      </c>
      <c r="C137" s="6">
        <v>4</v>
      </c>
      <c r="D137" s="6">
        <v>3307</v>
      </c>
      <c r="E137" s="6">
        <v>3328</v>
      </c>
      <c r="F137" s="6">
        <v>3371</v>
      </c>
      <c r="G137" s="6">
        <f t="shared" si="4"/>
        <v>65</v>
      </c>
      <c r="H137" s="6" t="s">
        <v>15</v>
      </c>
      <c r="I137" s="6">
        <v>24</v>
      </c>
      <c r="J137" s="6" t="s">
        <v>42</v>
      </c>
      <c r="K137" s="6">
        <v>7</v>
      </c>
      <c r="L137" s="6"/>
    </row>
    <row r="138" s="1" customFormat="1" spans="1:12">
      <c r="A138" s="11" t="s">
        <v>269</v>
      </c>
      <c r="B138" s="6" t="s">
        <v>275</v>
      </c>
      <c r="C138" s="6">
        <v>4</v>
      </c>
      <c r="D138" s="6">
        <v>408</v>
      </c>
      <c r="E138" s="6">
        <v>436</v>
      </c>
      <c r="F138" s="6">
        <v>479</v>
      </c>
      <c r="G138" s="6">
        <f t="shared" si="4"/>
        <v>72</v>
      </c>
      <c r="H138" s="6" t="s">
        <v>15</v>
      </c>
      <c r="I138" s="6">
        <v>7</v>
      </c>
      <c r="J138" s="6" t="s">
        <v>17</v>
      </c>
      <c r="K138" s="6">
        <v>7</v>
      </c>
      <c r="L138" s="6"/>
    </row>
    <row r="139" s="1" customFormat="1" spans="1:12">
      <c r="A139" s="11" t="s">
        <v>269</v>
      </c>
      <c r="B139" s="6" t="s">
        <v>276</v>
      </c>
      <c r="C139" s="6">
        <v>6</v>
      </c>
      <c r="D139" s="6">
        <v>4307</v>
      </c>
      <c r="E139" s="6">
        <v>4325</v>
      </c>
      <c r="F139" s="6">
        <v>4366</v>
      </c>
      <c r="G139" s="6">
        <f t="shared" si="4"/>
        <v>60</v>
      </c>
      <c r="H139" s="6" t="s">
        <v>15</v>
      </c>
      <c r="I139" s="6" t="s">
        <v>155</v>
      </c>
      <c r="J139" s="6" t="s">
        <v>28</v>
      </c>
      <c r="K139" s="6">
        <v>5</v>
      </c>
      <c r="L139" s="6"/>
    </row>
    <row r="140" s="1" customFormat="1" spans="1:12">
      <c r="A140" s="13" t="s">
        <v>277</v>
      </c>
      <c r="B140" s="6" t="s">
        <v>278</v>
      </c>
      <c r="C140" s="6">
        <v>1</v>
      </c>
      <c r="D140" s="6">
        <v>5957</v>
      </c>
      <c r="E140" s="6">
        <v>5988</v>
      </c>
      <c r="F140" s="6">
        <v>6009</v>
      </c>
      <c r="G140" s="6">
        <f t="shared" si="4"/>
        <v>53</v>
      </c>
      <c r="H140" s="6" t="s">
        <v>15</v>
      </c>
      <c r="I140" s="6" t="s">
        <v>279</v>
      </c>
      <c r="J140" s="6" t="s">
        <v>49</v>
      </c>
      <c r="K140" s="6">
        <v>1</v>
      </c>
      <c r="L140" s="6"/>
    </row>
    <row r="141" s="1" customFormat="1" spans="1:12">
      <c r="A141" s="13" t="s">
        <v>277</v>
      </c>
      <c r="B141" s="6" t="s">
        <v>280</v>
      </c>
      <c r="C141" s="6">
        <v>1</v>
      </c>
      <c r="D141" s="6">
        <v>6541</v>
      </c>
      <c r="E141" s="6">
        <v>6573</v>
      </c>
      <c r="F141" s="6">
        <v>6609</v>
      </c>
      <c r="G141" s="6">
        <f t="shared" si="4"/>
        <v>69</v>
      </c>
      <c r="H141" s="6" t="s">
        <v>15</v>
      </c>
      <c r="I141" s="6" t="s">
        <v>281</v>
      </c>
      <c r="J141" s="6" t="s">
        <v>28</v>
      </c>
      <c r="K141" s="6">
        <v>7</v>
      </c>
      <c r="L141" s="6" t="s">
        <v>138</v>
      </c>
    </row>
    <row r="142" s="1" customFormat="1" spans="1:12">
      <c r="A142" s="13" t="s">
        <v>277</v>
      </c>
      <c r="B142" s="6" t="s">
        <v>282</v>
      </c>
      <c r="C142" s="6">
        <v>1</v>
      </c>
      <c r="D142" s="6">
        <v>6889</v>
      </c>
      <c r="E142" s="6">
        <v>6926</v>
      </c>
      <c r="F142" s="6">
        <v>6973</v>
      </c>
      <c r="G142" s="6">
        <f t="shared" si="4"/>
        <v>85</v>
      </c>
      <c r="H142" s="6" t="s">
        <v>15</v>
      </c>
      <c r="I142" s="6">
        <v>7</v>
      </c>
      <c r="J142" s="6" t="s">
        <v>17</v>
      </c>
      <c r="K142" s="6">
        <v>7</v>
      </c>
      <c r="L142" s="6"/>
    </row>
    <row r="143" s="1" customFormat="1" spans="1:12">
      <c r="A143" s="13" t="s">
        <v>277</v>
      </c>
      <c r="B143" s="6" t="s">
        <v>283</v>
      </c>
      <c r="C143" s="6">
        <v>2</v>
      </c>
      <c r="D143" s="6">
        <v>695</v>
      </c>
      <c r="E143" s="6">
        <v>749</v>
      </c>
      <c r="F143" s="6">
        <v>776</v>
      </c>
      <c r="G143" s="6">
        <f t="shared" si="4"/>
        <v>82</v>
      </c>
      <c r="H143" s="6" t="s">
        <v>15</v>
      </c>
      <c r="I143" s="6" t="s">
        <v>266</v>
      </c>
      <c r="J143" s="6" t="s">
        <v>17</v>
      </c>
      <c r="K143" s="6">
        <v>3</v>
      </c>
      <c r="L143" s="6"/>
    </row>
    <row r="144" s="1" customFormat="1" spans="1:12">
      <c r="A144" s="13" t="s">
        <v>277</v>
      </c>
      <c r="B144" s="6" t="s">
        <v>284</v>
      </c>
      <c r="C144" s="6">
        <v>2</v>
      </c>
      <c r="D144" s="6">
        <v>2117</v>
      </c>
      <c r="E144" s="6">
        <v>2149</v>
      </c>
      <c r="F144" s="6">
        <v>2215</v>
      </c>
      <c r="G144" s="6">
        <f t="shared" si="4"/>
        <v>99</v>
      </c>
      <c r="H144" s="6" t="s">
        <v>15</v>
      </c>
      <c r="I144" s="6">
        <v>7</v>
      </c>
      <c r="J144" s="6" t="s">
        <v>17</v>
      </c>
      <c r="K144" s="6">
        <v>7</v>
      </c>
      <c r="L144" s="6"/>
    </row>
    <row r="145" s="1" customFormat="1" spans="1:12">
      <c r="A145" s="13" t="s">
        <v>285</v>
      </c>
      <c r="B145" s="6" t="s">
        <v>286</v>
      </c>
      <c r="C145" s="6">
        <v>3</v>
      </c>
      <c r="D145" s="6">
        <v>3129</v>
      </c>
      <c r="E145" s="6">
        <v>3159</v>
      </c>
      <c r="F145" s="6">
        <v>3217</v>
      </c>
      <c r="G145" s="6">
        <f t="shared" si="4"/>
        <v>89</v>
      </c>
      <c r="H145" s="6" t="s">
        <v>15</v>
      </c>
      <c r="I145" s="6" t="s">
        <v>62</v>
      </c>
      <c r="J145" s="6" t="s">
        <v>17</v>
      </c>
      <c r="K145" s="6">
        <v>7</v>
      </c>
      <c r="L145" s="6"/>
    </row>
    <row r="146" s="1" customFormat="1" spans="1:12">
      <c r="A146" s="13" t="s">
        <v>285</v>
      </c>
      <c r="B146" s="6" t="s">
        <v>287</v>
      </c>
      <c r="C146" s="6">
        <v>7</v>
      </c>
      <c r="D146" s="6">
        <v>1578</v>
      </c>
      <c r="E146" s="6">
        <v>1612</v>
      </c>
      <c r="F146" s="6">
        <v>1655</v>
      </c>
      <c r="G146" s="6">
        <f t="shared" si="4"/>
        <v>78</v>
      </c>
      <c r="H146" s="6" t="s">
        <v>15</v>
      </c>
      <c r="I146" s="6" t="s">
        <v>62</v>
      </c>
      <c r="J146" s="6" t="s">
        <v>17</v>
      </c>
      <c r="K146" s="6">
        <v>7</v>
      </c>
      <c r="L146" s="6" t="s">
        <v>288</v>
      </c>
    </row>
    <row r="147" s="1" customFormat="1" spans="1:12">
      <c r="A147" s="13" t="s">
        <v>285</v>
      </c>
      <c r="B147" s="6" t="s">
        <v>289</v>
      </c>
      <c r="C147" s="6">
        <v>7</v>
      </c>
      <c r="D147" s="6">
        <v>3636</v>
      </c>
      <c r="E147" s="6">
        <v>3672</v>
      </c>
      <c r="F147" s="6">
        <v>3719</v>
      </c>
      <c r="G147" s="6">
        <f t="shared" si="4"/>
        <v>84</v>
      </c>
      <c r="H147" s="6" t="s">
        <v>15</v>
      </c>
      <c r="I147" s="6" t="s">
        <v>290</v>
      </c>
      <c r="J147" s="6" t="s">
        <v>17</v>
      </c>
      <c r="K147" s="6">
        <v>7</v>
      </c>
      <c r="L147" s="6" t="s">
        <v>288</v>
      </c>
    </row>
    <row r="148" s="1" customFormat="1" spans="1:12">
      <c r="A148" s="11" t="s">
        <v>291</v>
      </c>
      <c r="B148" s="6" t="s">
        <v>292</v>
      </c>
      <c r="C148" s="6">
        <v>1</v>
      </c>
      <c r="D148" s="6">
        <v>9649</v>
      </c>
      <c r="E148" s="6">
        <v>9667</v>
      </c>
      <c r="F148" s="6">
        <v>9691</v>
      </c>
      <c r="G148" s="6">
        <f t="shared" si="4"/>
        <v>43</v>
      </c>
      <c r="H148" s="6" t="s">
        <v>15</v>
      </c>
      <c r="I148" s="6">
        <v>4</v>
      </c>
      <c r="J148" s="6" t="s">
        <v>17</v>
      </c>
      <c r="K148" s="6">
        <v>3</v>
      </c>
      <c r="L148" s="6"/>
    </row>
    <row r="149" s="1" customFormat="1" spans="1:12">
      <c r="A149" s="11" t="s">
        <v>291</v>
      </c>
      <c r="B149" s="6" t="s">
        <v>293</v>
      </c>
      <c r="C149" s="6">
        <v>4</v>
      </c>
      <c r="D149" s="6">
        <v>231</v>
      </c>
      <c r="E149" s="6">
        <v>245</v>
      </c>
      <c r="F149" s="6">
        <v>263</v>
      </c>
      <c r="G149" s="6">
        <f t="shared" si="4"/>
        <v>33</v>
      </c>
      <c r="H149" s="6" t="s">
        <v>15</v>
      </c>
      <c r="I149" s="6">
        <v>7</v>
      </c>
      <c r="J149" s="6" t="s">
        <v>17</v>
      </c>
      <c r="K149" s="6">
        <v>7</v>
      </c>
      <c r="L149" s="6"/>
    </row>
    <row r="150" s="1" customFormat="1" spans="1:12">
      <c r="A150" s="11" t="s">
        <v>291</v>
      </c>
      <c r="B150" s="6" t="s">
        <v>294</v>
      </c>
      <c r="C150" s="6">
        <v>4</v>
      </c>
      <c r="D150" s="6">
        <v>1509</v>
      </c>
      <c r="E150" s="6">
        <v>1534</v>
      </c>
      <c r="F150" s="6">
        <v>1574</v>
      </c>
      <c r="G150" s="6">
        <f t="shared" si="4"/>
        <v>66</v>
      </c>
      <c r="H150" s="6" t="s">
        <v>15</v>
      </c>
      <c r="I150" s="6">
        <v>4</v>
      </c>
      <c r="J150" s="6" t="s">
        <v>17</v>
      </c>
      <c r="K150" s="6">
        <v>3</v>
      </c>
      <c r="L150" s="6"/>
    </row>
    <row r="151" s="1" customFormat="1" spans="1:12">
      <c r="A151" s="11" t="s">
        <v>291</v>
      </c>
      <c r="B151" s="6" t="s">
        <v>295</v>
      </c>
      <c r="C151" s="6">
        <v>5</v>
      </c>
      <c r="D151" s="6">
        <v>408</v>
      </c>
      <c r="E151" s="6">
        <v>427</v>
      </c>
      <c r="F151" s="6">
        <v>468</v>
      </c>
      <c r="G151" s="6">
        <f t="shared" si="4"/>
        <v>61</v>
      </c>
      <c r="H151" s="6" t="s">
        <v>15</v>
      </c>
      <c r="I151" s="6">
        <v>38</v>
      </c>
      <c r="J151" s="6" t="s">
        <v>42</v>
      </c>
      <c r="K151" s="6">
        <v>7</v>
      </c>
      <c r="L151" s="6" t="s">
        <v>93</v>
      </c>
    </row>
    <row r="152" s="1" customFormat="1" spans="1:12">
      <c r="A152" s="11" t="s">
        <v>291</v>
      </c>
      <c r="B152" s="6" t="s">
        <v>296</v>
      </c>
      <c r="C152" s="6">
        <v>5</v>
      </c>
      <c r="D152" s="6">
        <v>2409</v>
      </c>
      <c r="E152" s="6">
        <v>2443</v>
      </c>
      <c r="F152" s="6">
        <v>2473</v>
      </c>
      <c r="G152" s="6">
        <f t="shared" si="4"/>
        <v>65</v>
      </c>
      <c r="H152" s="6" t="s">
        <v>15</v>
      </c>
      <c r="I152" s="6">
        <v>17</v>
      </c>
      <c r="J152" s="6" t="s">
        <v>28</v>
      </c>
      <c r="K152" s="6">
        <v>7</v>
      </c>
      <c r="L152" s="6"/>
    </row>
    <row r="153" s="1" customFormat="1" spans="1:12">
      <c r="A153" s="11" t="s">
        <v>291</v>
      </c>
      <c r="B153" s="6" t="s">
        <v>297</v>
      </c>
      <c r="C153" s="6">
        <v>5</v>
      </c>
      <c r="D153" s="6">
        <v>253</v>
      </c>
      <c r="E153" s="6">
        <v>293</v>
      </c>
      <c r="F153" s="6">
        <v>341</v>
      </c>
      <c r="G153" s="6">
        <f t="shared" si="4"/>
        <v>89</v>
      </c>
      <c r="H153" s="6" t="s">
        <v>15</v>
      </c>
      <c r="I153" s="6" t="s">
        <v>298</v>
      </c>
      <c r="J153" s="6" t="s">
        <v>34</v>
      </c>
      <c r="K153" s="6">
        <v>6</v>
      </c>
      <c r="L153" s="6"/>
    </row>
    <row r="154" s="1" customFormat="1" spans="1:12">
      <c r="A154" s="11" t="s">
        <v>291</v>
      </c>
      <c r="B154" s="6" t="s">
        <v>299</v>
      </c>
      <c r="C154" s="6">
        <v>6</v>
      </c>
      <c r="D154" s="6">
        <v>180</v>
      </c>
      <c r="E154" s="6">
        <v>210</v>
      </c>
      <c r="F154" s="6">
        <v>236</v>
      </c>
      <c r="G154" s="6">
        <f t="shared" si="4"/>
        <v>57</v>
      </c>
      <c r="H154" s="6" t="s">
        <v>15</v>
      </c>
      <c r="I154" s="6" t="s">
        <v>300</v>
      </c>
      <c r="J154" s="6" t="s">
        <v>34</v>
      </c>
      <c r="K154" s="6">
        <v>6</v>
      </c>
      <c r="L154" s="6"/>
    </row>
    <row r="155" s="1" customFormat="1" spans="1:12">
      <c r="A155" s="11" t="s">
        <v>291</v>
      </c>
      <c r="B155" s="6" t="s">
        <v>301</v>
      </c>
      <c r="C155" s="6">
        <v>7</v>
      </c>
      <c r="D155" s="6">
        <v>7809</v>
      </c>
      <c r="E155" s="6">
        <v>7819</v>
      </c>
      <c r="F155" s="6">
        <v>7853</v>
      </c>
      <c r="G155" s="6">
        <f t="shared" si="4"/>
        <v>45</v>
      </c>
      <c r="H155" s="6" t="s">
        <v>15</v>
      </c>
      <c r="I155" s="6" t="s">
        <v>302</v>
      </c>
      <c r="J155" s="6" t="s">
        <v>31</v>
      </c>
      <c r="K155" s="6">
        <v>2</v>
      </c>
      <c r="L155" s="6"/>
    </row>
    <row r="156" s="1" customFormat="1" spans="1:12">
      <c r="A156" s="11" t="s">
        <v>291</v>
      </c>
      <c r="B156" s="6" t="s">
        <v>303</v>
      </c>
      <c r="C156" s="6">
        <v>7</v>
      </c>
      <c r="D156" s="6">
        <v>823</v>
      </c>
      <c r="E156" s="6">
        <v>855</v>
      </c>
      <c r="F156" s="6">
        <v>918</v>
      </c>
      <c r="G156" s="6">
        <f t="shared" si="4"/>
        <v>96</v>
      </c>
      <c r="H156" s="6" t="s">
        <v>15</v>
      </c>
      <c r="I156" s="6" t="s">
        <v>304</v>
      </c>
      <c r="J156" s="6" t="s">
        <v>104</v>
      </c>
      <c r="K156" s="6">
        <v>7</v>
      </c>
      <c r="L156" s="6"/>
    </row>
    <row r="157" s="1" customFormat="1" spans="1:12">
      <c r="A157" s="11" t="s">
        <v>305</v>
      </c>
      <c r="B157" s="6" t="s">
        <v>306</v>
      </c>
      <c r="C157" s="6">
        <v>7</v>
      </c>
      <c r="D157" s="6">
        <v>2264</v>
      </c>
      <c r="E157" s="6">
        <v>2339</v>
      </c>
      <c r="F157" s="6">
        <v>2363</v>
      </c>
      <c r="G157" s="6">
        <f t="shared" si="4"/>
        <v>100</v>
      </c>
      <c r="H157" s="6" t="s">
        <v>15</v>
      </c>
      <c r="I157" s="6" t="s">
        <v>307</v>
      </c>
      <c r="J157" s="6" t="s">
        <v>80</v>
      </c>
      <c r="K157" s="6">
        <v>4</v>
      </c>
      <c r="L157" s="6" t="s">
        <v>308</v>
      </c>
    </row>
    <row r="158" s="1" customFormat="1" spans="1:12">
      <c r="A158" s="11" t="s">
        <v>309</v>
      </c>
      <c r="B158" s="6" t="s">
        <v>310</v>
      </c>
      <c r="C158" s="6">
        <v>3</v>
      </c>
      <c r="D158" s="6">
        <v>3306</v>
      </c>
      <c r="E158" s="6">
        <v>3342</v>
      </c>
      <c r="F158" s="6">
        <v>3382</v>
      </c>
      <c r="G158" s="6">
        <f t="shared" si="4"/>
        <v>77</v>
      </c>
      <c r="H158" s="6" t="s">
        <v>15</v>
      </c>
      <c r="I158" s="6">
        <v>24</v>
      </c>
      <c r="J158" s="6" t="s">
        <v>42</v>
      </c>
      <c r="K158" s="6">
        <v>7</v>
      </c>
      <c r="L158" s="6"/>
    </row>
    <row r="159" s="1" customFormat="1" spans="1:12">
      <c r="A159" s="11" t="s">
        <v>309</v>
      </c>
      <c r="B159" s="6" t="s">
        <v>311</v>
      </c>
      <c r="C159" s="6">
        <v>3</v>
      </c>
      <c r="D159" s="6">
        <v>3196</v>
      </c>
      <c r="E159" s="6">
        <v>3214</v>
      </c>
      <c r="F159" s="6">
        <v>3295</v>
      </c>
      <c r="G159" s="6">
        <f t="shared" si="4"/>
        <v>100</v>
      </c>
      <c r="H159" s="6" t="s">
        <v>15</v>
      </c>
      <c r="I159" s="6" t="s">
        <v>312</v>
      </c>
      <c r="J159" s="6" t="s">
        <v>17</v>
      </c>
      <c r="K159" s="6">
        <v>3</v>
      </c>
      <c r="L159" s="6"/>
    </row>
    <row r="160" s="1" customFormat="1" spans="1:12">
      <c r="A160" s="11" t="s">
        <v>309</v>
      </c>
      <c r="B160" s="6" t="s">
        <v>313</v>
      </c>
      <c r="C160" s="6">
        <v>4</v>
      </c>
      <c r="D160" s="6">
        <v>1488</v>
      </c>
      <c r="E160" s="6">
        <v>1529</v>
      </c>
      <c r="F160" s="6">
        <v>1577</v>
      </c>
      <c r="G160" s="6">
        <f t="shared" si="4"/>
        <v>90</v>
      </c>
      <c r="H160" s="6" t="s">
        <v>15</v>
      </c>
      <c r="I160" s="6">
        <v>24</v>
      </c>
      <c r="J160" s="6" t="s">
        <v>42</v>
      </c>
      <c r="K160" s="6">
        <v>7</v>
      </c>
      <c r="L160" s="6"/>
    </row>
  </sheetData>
  <autoFilter xmlns:etc="http://www.wps.cn/officeDocument/2017/etCustomData" ref="A1:L160" etc:filterBottomFollowUsedRange="0">
    <sortState ref="A1:L160">
      <sortCondition ref="A11:A170"/>
    </sortState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MMU</Company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MICRO_ONLY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MMU User</dc:creator>
  <cp:lastModifiedBy>青青草原扛把子</cp:lastModifiedBy>
  <dcterms:created xsi:type="dcterms:W3CDTF">2014-12-15T14:12:00Z</dcterms:created>
  <cp:lastPrinted>2015-07-02T16:15:00Z</cp:lastPrinted>
  <dcterms:modified xsi:type="dcterms:W3CDTF">2026-04-25T13:25:13Z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658379365BC4494C9B7B1B91AB14475C_12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